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2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3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7.xml" ContentType="application/vnd.openxmlformats-officedocument.drawing+xml"/>
  <Override PartName="/xl/slicers/slicer2.xml" ContentType="application/vnd.ms-excel.slicer+xml"/>
  <Override PartName="/xl/charts/chart4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5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6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8_{1876DDC0-8178-C249-AD75-6AD178D115B9}" xr6:coauthVersionLast="47" xr6:coauthVersionMax="47" xr10:uidLastSave="{00000000-0000-0000-0000-000000000000}"/>
  <bookViews>
    <workbookView xWindow="0" yWindow="0" windowWidth="21600" windowHeight="9405" activeTab="7" xr2:uid="{00000000-000D-0000-FFFF-FFFF00000000}"/>
  </bookViews>
  <sheets>
    <sheet name="Legenda" sheetId="10" r:id="rId1"/>
    <sheet name="Matriz(Antiga)" sheetId="3" r:id="rId2"/>
    <sheet name="Pergunta-1" sheetId="5" r:id="rId3"/>
    <sheet name="Pergunta-2" sheetId="7" r:id="rId4"/>
    <sheet name="Pergunta-3" sheetId="4" r:id="rId5"/>
    <sheet name="Pergunta-4" sheetId="2" r:id="rId6"/>
    <sheet name="Pergunta-5" sheetId="6" r:id="rId7"/>
    <sheet name="Dashboard" sheetId="12" r:id="rId8"/>
    <sheet name="TabelaDinâmica" sheetId="14" r:id="rId9"/>
    <sheet name="Matriz" sheetId="8" r:id="rId10"/>
  </sheets>
  <definedNames>
    <definedName name="_xlnm._FilterDatabase" localSheetId="1" hidden="1">'Matriz(Antiga)'!$A$1:$T$93</definedName>
    <definedName name="_xlchart.v2.0" hidden="1">'Pergunta-1'!$C$2:$C$93</definedName>
    <definedName name="_xlchart.v2.1" hidden="1">'Pergunta-1'!$D$1</definedName>
    <definedName name="_xlchart.v2.10" hidden="1">'Pergunta-4'!$D$1</definedName>
    <definedName name="_xlchart.v2.11" hidden="1">'Pergunta-4'!$D$2:$D$93</definedName>
    <definedName name="_xlchart.v2.12" hidden="1">'Pergunta-5'!$C$2:$C$93</definedName>
    <definedName name="_xlchart.v2.13" hidden="1">'Pergunta-5'!$D$1</definedName>
    <definedName name="_xlchart.v2.14" hidden="1">'Pergunta-5'!$D$2:$D$93</definedName>
    <definedName name="_xlchart.v2.2" hidden="1">'Pergunta-1'!$D$2:$D$93</definedName>
    <definedName name="_xlchart.v2.3" hidden="1">'Pergunta-2'!$C$2:$C$93</definedName>
    <definedName name="_xlchart.v2.4" hidden="1">'Pergunta-2'!$D$1</definedName>
    <definedName name="_xlchart.v2.5" hidden="1">'Pergunta-2'!$D$2:$D$93</definedName>
    <definedName name="_xlchart.v2.6" hidden="1">'Pergunta-3'!$C$2:$C$93</definedName>
    <definedName name="_xlchart.v2.7" hidden="1">'Pergunta-3'!$D$1</definedName>
    <definedName name="_xlchart.v2.8" hidden="1">'Pergunta-3'!$D$2:$D$93</definedName>
    <definedName name="_xlchart.v2.9" hidden="1">'Pergunta-4'!$C$2:$C$93</definedName>
    <definedName name="SegmentaçãodeDados_municipio">#N/A</definedName>
  </definedNames>
  <calcPr calcId="191028"/>
  <pivotCaches>
    <pivotCache cacheId="0" r:id="rId11"/>
  </pivotCaches>
  <extLst>
    <ext xmlns:x14="http://schemas.microsoft.com/office/spreadsheetml/2009/9/main" uri="{BBE1A952-AA13-448e-AADC-164F8A28A991}">
      <x14:slicerCaches>
        <x14:slicerCache r:id="rId12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3" i="8" l="1"/>
  <c r="J92" i="8"/>
  <c r="J91" i="8"/>
  <c r="J90" i="8"/>
  <c r="J89" i="8"/>
  <c r="J88" i="8"/>
  <c r="J87" i="8"/>
  <c r="J86" i="8"/>
  <c r="J85" i="8"/>
  <c r="J84" i="8"/>
  <c r="J83" i="8"/>
  <c r="J82" i="8"/>
  <c r="J81" i="8"/>
  <c r="J80" i="8"/>
  <c r="J79" i="8"/>
  <c r="J78" i="8"/>
  <c r="J77" i="8"/>
  <c r="J76" i="8"/>
  <c r="J75" i="8"/>
  <c r="J74" i="8"/>
  <c r="J73" i="8"/>
  <c r="J72" i="8"/>
  <c r="J71" i="8"/>
  <c r="J70" i="8"/>
  <c r="J69" i="8"/>
  <c r="J68" i="8"/>
  <c r="J67" i="8"/>
  <c r="J66" i="8"/>
  <c r="J65" i="8"/>
  <c r="J64" i="8"/>
  <c r="J63" i="8"/>
  <c r="J62" i="8"/>
  <c r="J61" i="8"/>
  <c r="J60" i="8"/>
  <c r="J59" i="8"/>
  <c r="J58" i="8"/>
  <c r="J57" i="8"/>
  <c r="J56" i="8"/>
  <c r="J55" i="8"/>
  <c r="J54" i="8"/>
  <c r="J53" i="8"/>
  <c r="J52" i="8"/>
  <c r="J51" i="8"/>
  <c r="J50" i="8"/>
  <c r="J49" i="8"/>
  <c r="J48" i="8"/>
  <c r="J47" i="8"/>
  <c r="J46" i="8"/>
  <c r="J45" i="8"/>
  <c r="J44" i="8"/>
  <c r="J43" i="8"/>
  <c r="J42" i="8"/>
  <c r="J41" i="8"/>
  <c r="J40" i="8"/>
  <c r="J39" i="8"/>
  <c r="J38" i="8"/>
  <c r="J37" i="8"/>
  <c r="J36" i="8"/>
  <c r="J35" i="8"/>
  <c r="J34" i="8"/>
  <c r="J33" i="8"/>
  <c r="J32" i="8"/>
  <c r="J31" i="8"/>
  <c r="J30" i="8"/>
  <c r="J29" i="8"/>
  <c r="J28" i="8"/>
  <c r="J27" i="8"/>
  <c r="J26" i="8"/>
  <c r="J25" i="8"/>
  <c r="J24" i="8"/>
  <c r="J23" i="8"/>
  <c r="J22" i="8"/>
  <c r="J21" i="8"/>
  <c r="J20" i="8"/>
  <c r="J19" i="8"/>
  <c r="J18" i="8"/>
  <c r="J17" i="8"/>
  <c r="J16" i="8"/>
  <c r="J15" i="8"/>
  <c r="J14" i="8"/>
  <c r="J13" i="8"/>
  <c r="J12" i="8"/>
  <c r="J11" i="8"/>
  <c r="J10" i="8"/>
  <c r="J9" i="8"/>
  <c r="J8" i="8"/>
  <c r="J7" i="8"/>
  <c r="J6" i="8"/>
  <c r="J5" i="8"/>
  <c r="J4" i="8"/>
  <c r="J3" i="8"/>
  <c r="J2" i="8"/>
</calcChain>
</file>

<file path=xl/sharedStrings.xml><?xml version="1.0" encoding="utf-8"?>
<sst xmlns="http://schemas.openxmlformats.org/spreadsheetml/2006/main" count="783" uniqueCount="165">
  <si>
    <t>cod_ibge</t>
  </si>
  <si>
    <t>municipio</t>
  </si>
  <si>
    <t>num_FC</t>
  </si>
  <si>
    <t>km2</t>
  </si>
  <si>
    <t>hectare</t>
  </si>
  <si>
    <t>hab/ha</t>
  </si>
  <si>
    <t>p_total</t>
  </si>
  <si>
    <t>p_branca</t>
  </si>
  <si>
    <t>p_preta</t>
  </si>
  <si>
    <t>p_amarela</t>
  </si>
  <si>
    <t>p_parda</t>
  </si>
  <si>
    <t>p_indig</t>
  </si>
  <si>
    <t>p_semd</t>
  </si>
  <si>
    <t>d_total</t>
  </si>
  <si>
    <t>DP</t>
  </si>
  <si>
    <t>DPPO</t>
  </si>
  <si>
    <t>DPPNOV</t>
  </si>
  <si>
    <t>DPPNOUO</t>
  </si>
  <si>
    <t>DPI</t>
  </si>
  <si>
    <t>DC</t>
  </si>
  <si>
    <t>São Paulo (SP)</t>
  </si>
  <si>
    <t>Guarulhos (SP)</t>
  </si>
  <si>
    <t>São Bernardo do Campo (SP)</t>
  </si>
  <si>
    <t>Campinas (SP)</t>
  </si>
  <si>
    <t>Mauá (SP)</t>
  </si>
  <si>
    <t>Guarujá (SP)</t>
  </si>
  <si>
    <t>Santo André (SP)</t>
  </si>
  <si>
    <t>Osasco (SP)</t>
  </si>
  <si>
    <t>Itaquaquecetuba (SP)</t>
  </si>
  <si>
    <t>Diadema (SP)</t>
  </si>
  <si>
    <t>São Vicente (SP)</t>
  </si>
  <si>
    <t>Carapicuíba (SP)</t>
  </si>
  <si>
    <t>Embu das Artes (SP)</t>
  </si>
  <si>
    <t>Santos (SP)</t>
  </si>
  <si>
    <t>Taboão da Serra (SP)</t>
  </si>
  <si>
    <t>Cubatão (SP)</t>
  </si>
  <si>
    <t>Ferraz de Vasconcelos (SP)</t>
  </si>
  <si>
    <t>São Sebastião (SP)</t>
  </si>
  <si>
    <t>Ribeirão Preto (SP)</t>
  </si>
  <si>
    <t>Francisco Morato (SP)</t>
  </si>
  <si>
    <t>Praia Grande (SP)</t>
  </si>
  <si>
    <t>Suzano (SP)</t>
  </si>
  <si>
    <t>Jundiaí (SP)</t>
  </si>
  <si>
    <t>Mogi das Cruzes (SP)</t>
  </si>
  <si>
    <t>Bertioga (SP)</t>
  </si>
  <si>
    <t>Ubatuba (SP)</t>
  </si>
  <si>
    <t>Várzea Paulista (SP)</t>
  </si>
  <si>
    <t>Franco da Rocha (SP)</t>
  </si>
  <si>
    <t>Itapecerica da Serra (SP)</t>
  </si>
  <si>
    <t>Itapevi (SP)</t>
  </si>
  <si>
    <t>Sorocaba (SP)</t>
  </si>
  <si>
    <t>Sumaré (SP)</t>
  </si>
  <si>
    <t>Cotia (SP)</t>
  </si>
  <si>
    <t>Cajamar (SP)</t>
  </si>
  <si>
    <t>Piracicaba (SP)</t>
  </si>
  <si>
    <t>Campos do Jordão (SP)</t>
  </si>
  <si>
    <t>Barueri (SP)</t>
  </si>
  <si>
    <t>Caieiras (SP)</t>
  </si>
  <si>
    <t>Ilhabela (SP)</t>
  </si>
  <si>
    <t>São José dos Campos (SP)</t>
  </si>
  <si>
    <t>Jacareí (SP)</t>
  </si>
  <si>
    <t>Bauru (SP)</t>
  </si>
  <si>
    <t>Caraguatatuba (SP)</t>
  </si>
  <si>
    <t>Atibaia (SP)</t>
  </si>
  <si>
    <t>Rio Grande da Serra (SP)</t>
  </si>
  <si>
    <t>Jandira (SP)</t>
  </si>
  <si>
    <t>Votorantim (SP)</t>
  </si>
  <si>
    <t>Ribeirão Pires (SP)</t>
  </si>
  <si>
    <t>Hortolândia (SP)</t>
  </si>
  <si>
    <t>Santana de Parnaíba (SP)</t>
  </si>
  <si>
    <t>Mairiporã (SP)</t>
  </si>
  <si>
    <t>Campo Limpo Paulista (SP)</t>
  </si>
  <si>
    <t>Itu (SP)</t>
  </si>
  <si>
    <t>Marília (SP)</t>
  </si>
  <si>
    <t>Pirapora do Bom Jesus (SP)</t>
  </si>
  <si>
    <t>Tremembé (SP)</t>
  </si>
  <si>
    <t>São Roque (SP)</t>
  </si>
  <si>
    <t>Biritiba Mirim (SP)</t>
  </si>
  <si>
    <t>Poá (SP)</t>
  </si>
  <si>
    <t>Cosmópolis (SP)</t>
  </si>
  <si>
    <t>São Pedro (SP)</t>
  </si>
  <si>
    <t>Arujá (SP)</t>
  </si>
  <si>
    <t>Ibiúna (SP)</t>
  </si>
  <si>
    <t>Porto Ferreira (SP)</t>
  </si>
  <si>
    <t>Cruzeiro (SP)</t>
  </si>
  <si>
    <t>Lorena (SP)</t>
  </si>
  <si>
    <t>Guaratinguetá (SP)</t>
  </si>
  <si>
    <t>Santa Cruz do Rio Pardo (SP)</t>
  </si>
  <si>
    <t>Cabreúva (SP)</t>
  </si>
  <si>
    <t>Embu-Guaçu (SP)</t>
  </si>
  <si>
    <t>Bananal (SP)</t>
  </si>
  <si>
    <t>São Carlos (SP)</t>
  </si>
  <si>
    <t>Capivari (SP)</t>
  </si>
  <si>
    <t>Itirapina (SP)</t>
  </si>
  <si>
    <t>Botucatu (SP)</t>
  </si>
  <si>
    <t>Mairinque (SP)</t>
  </si>
  <si>
    <t>Itanhaém (SP)</t>
  </si>
  <si>
    <t>Rio Claro (SP)</t>
  </si>
  <si>
    <t>Americana (SP)</t>
  </si>
  <si>
    <t>Cordeirópolis (SP)</t>
  </si>
  <si>
    <t>Amparo (SP)</t>
  </si>
  <si>
    <t>Caçapava (SP)</t>
  </si>
  <si>
    <t>Salto (SP)</t>
  </si>
  <si>
    <t>Peruíbe (SP)</t>
  </si>
  <si>
    <t>Ibirarema (SP)</t>
  </si>
  <si>
    <t>Louveira (SP)</t>
  </si>
  <si>
    <t>Bragança Paulista (SP)</t>
  </si>
  <si>
    <t>Avaré (SP)</t>
  </si>
  <si>
    <t>Pederneiras (SP)</t>
  </si>
  <si>
    <t>Tabatinga (SP)</t>
  </si>
  <si>
    <t>Pindamonhangaba (SP)</t>
  </si>
  <si>
    <t>Presidente Epitácio (SP)</t>
  </si>
  <si>
    <t>porcentagem_pretos</t>
  </si>
  <si>
    <t>São Paulo(SP)</t>
  </si>
  <si>
    <t>Em qual município o número da população de pretos na favela é maior?</t>
  </si>
  <si>
    <t>Em qual município existem mais pessoas morando em favela?</t>
  </si>
  <si>
    <t>tipo</t>
  </si>
  <si>
    <t>descricao</t>
  </si>
  <si>
    <t>fonte</t>
  </si>
  <si>
    <t>numérico</t>
  </si>
  <si>
    <t>Código oficial de 7 dígitos definido pelo IBGE para município</t>
  </si>
  <si>
    <t xml:space="preserve">Instituto Brasileiro de Geografia e Estatística – IBGE </t>
  </si>
  <si>
    <t>texto</t>
  </si>
  <si>
    <t>Nome do município</t>
  </si>
  <si>
    <t>Número de favelas e comunidades urbanas</t>
  </si>
  <si>
    <t>Área da unidade espacial em quilometros quadrados</t>
  </si>
  <si>
    <t>Área da unidade espacial em hectare</t>
  </si>
  <si>
    <t>Habitantes em favelas e comunidades urbanas por hectare</t>
  </si>
  <si>
    <t>Pessoas em favelas e comunidades urbanas - total</t>
  </si>
  <si>
    <t>Pessoas em favelas e comunidades urbanas - branca</t>
  </si>
  <si>
    <t>Pessoas em favelas e comunidades urbanas - preta</t>
  </si>
  <si>
    <t>Pessoas em favelas e comunidades urbanas - amarela</t>
  </si>
  <si>
    <t>Pessoas em favelas e comunidades urbanas - parda</t>
  </si>
  <si>
    <t>Pessoas em favelas e comunidades urbanas - indígena</t>
  </si>
  <si>
    <t>Pessoas em favelas e comunidades urbanas - sem declaração</t>
  </si>
  <si>
    <t>Domicílios total</t>
  </si>
  <si>
    <t>Domicílios particulares</t>
  </si>
  <si>
    <t>Domicílios particular permanente ocupado</t>
  </si>
  <si>
    <t>Domicílios particular permanente não ocupado - vago</t>
  </si>
  <si>
    <t>Domicílios particular permanente não ocupado - uso ocasional</t>
  </si>
  <si>
    <t>Domicílios particular improvisado</t>
  </si>
  <si>
    <t>Domicílios coletivos</t>
  </si>
  <si>
    <t>Em qual município o número de indigenas na favela é maior?</t>
  </si>
  <si>
    <t>Em qual município a população de pardos na favela é menor?</t>
  </si>
  <si>
    <t>Em qual município o número de população de brancos na favela é menor?</t>
  </si>
  <si>
    <t>(Tudo)</t>
  </si>
  <si>
    <t>Valores</t>
  </si>
  <si>
    <t>Branca</t>
  </si>
  <si>
    <t>Preta</t>
  </si>
  <si>
    <t>Amarela</t>
  </si>
  <si>
    <t>Parda</t>
  </si>
  <si>
    <t>Indígena</t>
  </si>
  <si>
    <t>Sem Declaração</t>
  </si>
  <si>
    <t>Média de Branca</t>
  </si>
  <si>
    <t>Média de Preta</t>
  </si>
  <si>
    <t>Média de Amarela</t>
  </si>
  <si>
    <t>Média de Parda</t>
  </si>
  <si>
    <t>Média de Indígena</t>
  </si>
  <si>
    <t>Média de Sem Declaração</t>
  </si>
  <si>
    <t>Média de DPPNOV</t>
  </si>
  <si>
    <t>Média de DPPNOUO</t>
  </si>
  <si>
    <t>Média de DP</t>
  </si>
  <si>
    <t>Média de DPPO</t>
  </si>
  <si>
    <t>Média de DPI</t>
  </si>
  <si>
    <t>Média de 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</si>
</sst>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19" fillId="33" borderId="0" xfId="0" applyFont="1" applyFill="1" applyAlignment="1">
      <alignment horizontal="left" indent="1"/>
    </xf>
    <xf numFmtId="0" fontId="19" fillId="0" borderId="0" xfId="0" applyFont="1" applyAlignment="1">
      <alignment horizontal="left" indent="1"/>
    </xf>
    <xf numFmtId="0" fontId="18" fillId="0" borderId="1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9" fillId="33" borderId="0" xfId="0" applyFont="1" applyFill="1" applyAlignment="1">
      <alignment horizontal="center" vertical="center"/>
    </xf>
    <xf numFmtId="9" fontId="19" fillId="33" borderId="0" xfId="1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9" fontId="19" fillId="0" borderId="0" xfId="1" applyFont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9" fontId="18" fillId="0" borderId="11" xfId="1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6" fillId="0" borderId="0" xfId="0" applyFont="1"/>
    <xf numFmtId="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 vertical="center"/>
    </xf>
    <xf numFmtId="0" fontId="0" fillId="34" borderId="0" xfId="0" applyFill="1"/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Neutro" xfId="9" builtinId="28" customBuiltin="1"/>
    <cellStyle name="Normal" xfId="0" builtinId="0"/>
    <cellStyle name="Nota" xfId="16" builtinId="10" customBuiltin="1"/>
    <cellStyle name="Porcentagem" xfId="1" builtinId="5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top style="thin">
          <color theme="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alignment horizontal="left" vertical="bottom" textRotation="0" wrapText="0" indent="1" justifyLastLine="0" shrinkToFit="0" readingOrder="0"/>
    </dxf>
    <dxf>
      <border outline="0">
        <top style="thin">
          <color theme="4"/>
        </top>
      </border>
    </dxf>
    <dxf>
      <border outline="0"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theme" Target="theme/theme1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microsoft.com/office/2007/relationships/slicerCache" Target="slicerCaches/slicerCache1.xml" /><Relationship Id="rId2" Type="http://schemas.openxmlformats.org/officeDocument/2006/relationships/worksheet" Target="worksheets/sheet2.xml" /><Relationship Id="rId16" Type="http://schemas.openxmlformats.org/officeDocument/2006/relationships/calcChain" Target="calcChain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pivotCacheDefinition" Target="pivotCache/pivotCacheDefinition1.xml" /><Relationship Id="rId5" Type="http://schemas.openxmlformats.org/officeDocument/2006/relationships/worksheet" Target="worksheets/sheet5.xml" /><Relationship Id="rId15" Type="http://schemas.openxmlformats.org/officeDocument/2006/relationships/sharedStrings" Target="sharedStrings.xml" /><Relationship Id="rId10" Type="http://schemas.openxmlformats.org/officeDocument/2006/relationships/worksheet" Target="worksheets/sheet10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styles" Target="styles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6.xml" /><Relationship Id="rId1" Type="http://schemas.microsoft.com/office/2011/relationships/chartStyle" Target="style6.xml" 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7.xml" /><Relationship Id="rId1" Type="http://schemas.microsoft.com/office/2011/relationships/chartStyle" Target="style7.xml" 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8.xml" /><Relationship Id="rId1" Type="http://schemas.microsoft.com/office/2011/relationships/chartStyle" Target="style8.xml" 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9.xml" /><Relationship Id="rId1" Type="http://schemas.microsoft.com/office/2011/relationships/chartStyle" Target="style9.xml" 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0.xml" /><Relationship Id="rId1" Type="http://schemas.microsoft.com/office/2011/relationships/chartStyle" Target="style10.xml" 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1.xml" /><Relationship Id="rId1" Type="http://schemas.microsoft.com/office/2011/relationships/chartStyle" Target="style11.xml" 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 /><Relationship Id="rId1" Type="http://schemas.microsoft.com/office/2011/relationships/chartStyle" Target="style2.xml" 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 /><Relationship Id="rId1" Type="http://schemas.microsoft.com/office/2011/relationships/chartStyle" Target="style3.xml" 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 /><Relationship Id="rId1" Type="http://schemas.microsoft.com/office/2011/relationships/chartStyle" Target="style4.xml" 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 /><Relationship Id="rId1" Type="http://schemas.microsoft.com/office/2011/relationships/chartStyle" Target="style5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[censo2022_favelas (2) Júlia.1.xlsx]TabelaDinâmica!Tabela dinâmica6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600" b="1"/>
              <a:t>População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TabelaDinâmica!$B$3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TabelaDinâmica!$A$4:$A$9</c:f>
              <c:strCache>
                <c:ptCount val="6"/>
                <c:pt idx="0">
                  <c:v>Média de Branca</c:v>
                </c:pt>
                <c:pt idx="1">
                  <c:v>Média de Preta</c:v>
                </c:pt>
                <c:pt idx="2">
                  <c:v>Média de Amarela</c:v>
                </c:pt>
                <c:pt idx="3">
                  <c:v>Média de Parda</c:v>
                </c:pt>
                <c:pt idx="4">
                  <c:v>Média de Indígena</c:v>
                </c:pt>
                <c:pt idx="5">
                  <c:v>Média de Sem Declaração</c:v>
                </c:pt>
              </c:strCache>
            </c:strRef>
          </c:cat>
          <c:val>
            <c:numRef>
              <c:f>TabelaDinâmica!$B$4:$B$9</c:f>
              <c:numCache>
                <c:formatCode>General</c:formatCode>
                <c:ptCount val="6"/>
                <c:pt idx="0">
                  <c:v>13557.184782608696</c:v>
                </c:pt>
                <c:pt idx="1">
                  <c:v>5225.173913043478</c:v>
                </c:pt>
                <c:pt idx="2">
                  <c:v>52.484848484848484</c:v>
                </c:pt>
                <c:pt idx="3">
                  <c:v>20589.66304347826</c:v>
                </c:pt>
                <c:pt idx="4">
                  <c:v>72.015625</c:v>
                </c:pt>
                <c:pt idx="5">
                  <c:v>11.578947368421053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7A3C-4252-8744-BA11E424B45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602651551086236"/>
          <c:y val="0.33732465733449984"/>
          <c:w val="0.32166255573475"/>
          <c:h val="0.6030125400991542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[censo2022_favelas (2) Júlia.1.xlsx]TabelaDinâmica!Tabela dinâmica6</c:name>
    <c:fmtId val="5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TabelaDinâmica!$B$3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TabelaDinâmica!$A$4:$A$9</c:f>
              <c:strCache>
                <c:ptCount val="6"/>
                <c:pt idx="0">
                  <c:v>Média de Branca</c:v>
                </c:pt>
                <c:pt idx="1">
                  <c:v>Média de Preta</c:v>
                </c:pt>
                <c:pt idx="2">
                  <c:v>Média de Amarela</c:v>
                </c:pt>
                <c:pt idx="3">
                  <c:v>Média de Parda</c:v>
                </c:pt>
                <c:pt idx="4">
                  <c:v>Média de Indígena</c:v>
                </c:pt>
                <c:pt idx="5">
                  <c:v>Média de Sem Declaração</c:v>
                </c:pt>
              </c:strCache>
            </c:strRef>
          </c:cat>
          <c:val>
            <c:numRef>
              <c:f>TabelaDinâmica!$B$4:$B$9</c:f>
              <c:numCache>
                <c:formatCode>General</c:formatCode>
                <c:ptCount val="6"/>
                <c:pt idx="0">
                  <c:v>13557.184782608696</c:v>
                </c:pt>
                <c:pt idx="1">
                  <c:v>5225.173913043478</c:v>
                </c:pt>
                <c:pt idx="2">
                  <c:v>52.484848484848484</c:v>
                </c:pt>
                <c:pt idx="3">
                  <c:v>20589.66304347826</c:v>
                </c:pt>
                <c:pt idx="4">
                  <c:v>72.015625</c:v>
                </c:pt>
                <c:pt idx="5">
                  <c:v>11.578947368421053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17-48C1-AB61-77065807453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79677167"/>
        <c:axId val="741916351"/>
      </c:barChart>
      <c:catAx>
        <c:axId val="47967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1916351"/>
        <c:crosses val="autoZero"/>
        <c:auto val="1"/>
        <c:lblAlgn val="ctr"/>
        <c:lblOffset val="100"/>
        <c:noMultiLvlLbl val="0"/>
      </c:catAx>
      <c:valAx>
        <c:axId val="74191635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79677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[censo2022_favelas (2) Júlia.1.xlsx]TabelaDinâmica!Tabela dinâmica7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pt-BR" b="1"/>
              <a:t>Domicílios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TabelaDinâmica!$J$3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TabelaDinâmica!$I$4:$I$9</c:f>
              <c:strCache>
                <c:ptCount val="6"/>
                <c:pt idx="0">
                  <c:v>Média de DP</c:v>
                </c:pt>
                <c:pt idx="1">
                  <c:v>Média de DPPO</c:v>
                </c:pt>
                <c:pt idx="2">
                  <c:v>Média de DPPNOV</c:v>
                </c:pt>
                <c:pt idx="3">
                  <c:v>Média de DPPNOUO</c:v>
                </c:pt>
                <c:pt idx="4">
                  <c:v>Média de DPI</c:v>
                </c:pt>
                <c:pt idx="5">
                  <c:v>Média de DC</c:v>
                </c:pt>
              </c:strCache>
            </c:strRef>
          </c:cat>
          <c:val>
            <c:numRef>
              <c:f>TabelaDinâmica!$J$4:$J$9</c:f>
              <c:numCache>
                <c:formatCode>General</c:formatCode>
                <c:ptCount val="6"/>
                <c:pt idx="0">
                  <c:v>14794.510869565218</c:v>
                </c:pt>
                <c:pt idx="1">
                  <c:v>13287.532608695652</c:v>
                </c:pt>
                <c:pt idx="2">
                  <c:v>1259.3222222222223</c:v>
                </c:pt>
                <c:pt idx="3">
                  <c:v>207.81818181818181</c:v>
                </c:pt>
                <c:pt idx="4">
                  <c:v>113.14516129032258</c:v>
                </c:pt>
                <c:pt idx="5">
                  <c:v>4.2758620689655169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E5-4550-A1C9-F64FF9B6373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710252927"/>
        <c:axId val="856283855"/>
      </c:barChart>
      <c:catAx>
        <c:axId val="710252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6283855"/>
        <c:crosses val="autoZero"/>
        <c:auto val="1"/>
        <c:lblAlgn val="ctr"/>
        <c:lblOffset val="100"/>
        <c:noMultiLvlLbl val="0"/>
      </c:catAx>
      <c:valAx>
        <c:axId val="85628385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10252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[censo2022_favelas (2) Júlia.1.xlsx]TabelaDinâmica!Tabela dinâmica6</c:name>
    <c:fmtId val="2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TabelaDinâmica!$B$3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TabelaDinâmica!$A$4:$A$9</c:f>
              <c:strCache>
                <c:ptCount val="6"/>
                <c:pt idx="0">
                  <c:v>Média de Branca</c:v>
                </c:pt>
                <c:pt idx="1">
                  <c:v>Média de Preta</c:v>
                </c:pt>
                <c:pt idx="2">
                  <c:v>Média de Amarela</c:v>
                </c:pt>
                <c:pt idx="3">
                  <c:v>Média de Parda</c:v>
                </c:pt>
                <c:pt idx="4">
                  <c:v>Média de Indígena</c:v>
                </c:pt>
                <c:pt idx="5">
                  <c:v>Média de Sem Declaração</c:v>
                </c:pt>
              </c:strCache>
            </c:strRef>
          </c:cat>
          <c:val>
            <c:numRef>
              <c:f>TabelaDinâmica!$B$4:$B$9</c:f>
              <c:numCache>
                <c:formatCode>General</c:formatCode>
                <c:ptCount val="6"/>
                <c:pt idx="0">
                  <c:v>13557.184782608696</c:v>
                </c:pt>
                <c:pt idx="1">
                  <c:v>5225.173913043478</c:v>
                </c:pt>
                <c:pt idx="2">
                  <c:v>52.484848484848484</c:v>
                </c:pt>
                <c:pt idx="3">
                  <c:v>20589.66304347826</c:v>
                </c:pt>
                <c:pt idx="4">
                  <c:v>72.015625</c:v>
                </c:pt>
                <c:pt idx="5">
                  <c:v>11.578947368421053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4E-44C7-8B64-294BEABDA9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[censo2022_favelas (2) Júlia.1.xlsx]TabelaDinâmica!Tabela dinâmica6</c:name>
    <c:fmtId val="4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TabelaDinâmica!$B$3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TabelaDinâmica!$A$4:$A$9</c:f>
              <c:strCache>
                <c:ptCount val="6"/>
                <c:pt idx="0">
                  <c:v>Média de Branca</c:v>
                </c:pt>
                <c:pt idx="1">
                  <c:v>Média de Preta</c:v>
                </c:pt>
                <c:pt idx="2">
                  <c:v>Média de Amarela</c:v>
                </c:pt>
                <c:pt idx="3">
                  <c:v>Média de Parda</c:v>
                </c:pt>
                <c:pt idx="4">
                  <c:v>Média de Indígena</c:v>
                </c:pt>
                <c:pt idx="5">
                  <c:v>Média de Sem Declaração</c:v>
                </c:pt>
              </c:strCache>
            </c:strRef>
          </c:cat>
          <c:val>
            <c:numRef>
              <c:f>TabelaDinâmica!$B$4:$B$9</c:f>
              <c:numCache>
                <c:formatCode>General</c:formatCode>
                <c:ptCount val="6"/>
                <c:pt idx="0">
                  <c:v>13557.184782608696</c:v>
                </c:pt>
                <c:pt idx="1">
                  <c:v>5225.173913043478</c:v>
                </c:pt>
                <c:pt idx="2">
                  <c:v>52.484848484848484</c:v>
                </c:pt>
                <c:pt idx="3">
                  <c:v>20589.66304347826</c:v>
                </c:pt>
                <c:pt idx="4">
                  <c:v>72.015625</c:v>
                </c:pt>
                <c:pt idx="5">
                  <c:v>11.578947368421053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7A-4C47-9480-09202D5598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9677167"/>
        <c:axId val="741916351"/>
      </c:barChart>
      <c:catAx>
        <c:axId val="47967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1916351"/>
        <c:crosses val="autoZero"/>
        <c:auto val="1"/>
        <c:lblAlgn val="ctr"/>
        <c:lblOffset val="100"/>
        <c:noMultiLvlLbl val="0"/>
      </c:catAx>
      <c:valAx>
        <c:axId val="741916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9677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[censo2022_favelas (2) Júlia.1.xlsx]TabelaDinâmica!Tabela dinâmica7</c:name>
    <c:fmtId val="1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TabelaDinâmica!$J$3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TabelaDinâmica!$I$4:$I$9</c:f>
              <c:strCache>
                <c:ptCount val="6"/>
                <c:pt idx="0">
                  <c:v>Média de DP</c:v>
                </c:pt>
                <c:pt idx="1">
                  <c:v>Média de DPPO</c:v>
                </c:pt>
                <c:pt idx="2">
                  <c:v>Média de DPPNOV</c:v>
                </c:pt>
                <c:pt idx="3">
                  <c:v>Média de DPPNOUO</c:v>
                </c:pt>
                <c:pt idx="4">
                  <c:v>Média de DPI</c:v>
                </c:pt>
                <c:pt idx="5">
                  <c:v>Média de DC</c:v>
                </c:pt>
              </c:strCache>
            </c:strRef>
          </c:cat>
          <c:val>
            <c:numRef>
              <c:f>TabelaDinâmica!$J$4:$J$9</c:f>
              <c:numCache>
                <c:formatCode>General</c:formatCode>
                <c:ptCount val="6"/>
                <c:pt idx="0">
                  <c:v>14794.510869565218</c:v>
                </c:pt>
                <c:pt idx="1">
                  <c:v>13287.532608695652</c:v>
                </c:pt>
                <c:pt idx="2">
                  <c:v>1259.3222222222223</c:v>
                </c:pt>
                <c:pt idx="3">
                  <c:v>207.81818181818181</c:v>
                </c:pt>
                <c:pt idx="4">
                  <c:v>113.14516129032258</c:v>
                </c:pt>
                <c:pt idx="5">
                  <c:v>4.2758620689655169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22-4615-997C-656B58D6F2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0252927"/>
        <c:axId val="856283855"/>
      </c:barChart>
      <c:catAx>
        <c:axId val="710252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6283855"/>
        <c:crosses val="autoZero"/>
        <c:auto val="1"/>
        <c:lblAlgn val="ctr"/>
        <c:lblOffset val="100"/>
        <c:noMultiLvlLbl val="0"/>
      </c:catAx>
      <c:valAx>
        <c:axId val="856283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10252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title pos="t" align="ctr" overlay="0">
      <cx:tx>
        <cx:txData>
          <cx:v>Númro de Pessoa_Pa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800" b="1" i="0" u="none" strike="noStrike" baseline="0">
              <a:solidFill>
                <a:sysClr val="windowText" lastClr="000000">
                  <a:lumMod val="75000"/>
                  <a:lumOff val="25000"/>
                </a:sysClr>
              </a:solidFill>
              <a:latin typeface="Calibri" panose="020F0502020204030204"/>
            </a:rPr>
            <a:t>Númro de Pessoa_Pa</a:t>
          </a:r>
        </a:p>
      </cx:txPr>
    </cx:title>
    <cx:plotArea>
      <cx:plotAreaRegion>
        <cx:series layoutId="funnel" uniqueId="{00000000-0F28-034E-8D31-D1B3CDF7BD5F}">
          <cx:tx>
            <cx:txData>
              <cx:f>_xlchart.v2.1</cx:f>
              <cx:v>p_parda</cx:v>
            </cx:txData>
          </cx:tx>
          <cx:dataLabels>
            <cx:visibility seriesName="0" categoryName="0" value="1"/>
          </cx:dataLabels>
          <cx:dataId val="0"/>
        </cx:series>
      </cx:plotAreaRegion>
      <cx:axis id="0">
        <cx:catScaling gapWidth="0.150000006"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_xlchart.v2.3</cx:f>
      </cx:strDim>
      <cx:numDim type="val">
        <cx:f>_xlchart.v2.5</cx:f>
      </cx:numDim>
    </cx:data>
  </cx:chartData>
  <cx:chart>
    <cx:title pos="t" align="ctr" overlay="0">
      <cx:tx>
        <cx:txData>
          <cx:v>Número de Pessoas_I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800" b="1" i="0" u="none" strike="noStrike" baseline="0">
              <a:solidFill>
                <a:sysClr val="windowText" lastClr="000000">
                  <a:lumMod val="75000"/>
                  <a:lumOff val="25000"/>
                </a:sysClr>
              </a:solidFill>
              <a:latin typeface="Calibri" panose="020F0502020204030204"/>
            </a:rPr>
            <a:t>Número de Pessoas_I</a:t>
          </a:r>
        </a:p>
      </cx:txPr>
    </cx:title>
    <cx:plotArea>
      <cx:plotAreaRegion>
        <cx:series layoutId="funnel" uniqueId="{00000000-A367-624D-8DF7-598882357352}">
          <cx:tx>
            <cx:txData>
              <cx:f>_xlchart.v2.4</cx:f>
              <cx:v>p_indig</cx:v>
            </cx:txData>
          </cx:tx>
          <cx:dataLabels>
            <cx:visibility seriesName="0" categoryName="0" value="1"/>
          </cx:dataLabels>
          <cx:dataId val="0"/>
        </cx:series>
      </cx:plotAreaRegion>
      <cx:axis id="0">
        <cx:catScaling gapWidth="0.150000006"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_xlchart.v2.6</cx:f>
      </cx:strDim>
      <cx:numDim type="val">
        <cx:f>_xlchart.v2.8</cx:f>
      </cx:numDim>
    </cx:data>
  </cx:chartData>
  <cx:chart>
    <cx:title pos="t" align="ctr" overlay="0">
      <cx:tx>
        <cx:txData>
          <cx:v>Número  de Pessoas_B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800" b="1" i="0" u="none" strike="noStrike" baseline="0">
              <a:solidFill>
                <a:sysClr val="windowText" lastClr="000000">
                  <a:lumMod val="75000"/>
                  <a:lumOff val="25000"/>
                </a:sysClr>
              </a:solidFill>
              <a:latin typeface="Calibri" panose="020F0502020204030204"/>
            </a:rPr>
            <a:t>Número  de Pessoas_B</a:t>
          </a:r>
        </a:p>
      </cx:txPr>
    </cx:title>
    <cx:plotArea>
      <cx:plotAreaRegion>
        <cx:series layoutId="funnel" uniqueId="{00000000-A097-5247-BC52-EBF86B9FCE36}">
          <cx:tx>
            <cx:txData>
              <cx:f>_xlchart.v2.7</cx:f>
              <cx:v>p_branca</cx:v>
            </cx:txData>
          </cx:tx>
          <cx:dataLabels>
            <cx:visibility seriesName="0" categoryName="0" value="1"/>
          </cx:dataLabels>
          <cx:dataId val="0"/>
        </cx:series>
      </cx:plotAreaRegion>
      <cx:axis id="0">
        <cx:catScaling gapWidth="0.150000006"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_xlchart.v2.9</cx:f>
      </cx:strDim>
      <cx:numDim type="val">
        <cx:f>_xlchart.v2.11</cx:f>
      </cx:numDim>
    </cx:data>
  </cx:chartData>
  <cx:chart>
    <cx:title pos="t" align="ctr" overlay="0">
      <cx:tx>
        <cx:txData>
          <cx:v>Número de Pessoas_P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800" b="1" i="0" u="none" strike="noStrike" baseline="0">
              <a:solidFill>
                <a:sysClr val="windowText" lastClr="000000">
                  <a:lumMod val="75000"/>
                  <a:lumOff val="25000"/>
                </a:sysClr>
              </a:solidFill>
              <a:latin typeface="Calibri" panose="020F0502020204030204"/>
            </a:rPr>
            <a:t>Número de Pessoas_P</a:t>
          </a:r>
        </a:p>
      </cx:txPr>
    </cx:title>
    <cx:plotArea>
      <cx:plotAreaRegion>
        <cx:series layoutId="funnel" uniqueId="{00000000-4C12-0F4A-8C49-8523A57E4C01}">
          <cx:tx>
            <cx:txData>
              <cx:f>_xlchart.v2.10</cx:f>
              <cx:v>p_preta</cx:v>
            </cx:txData>
          </cx:tx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_xlchart.v2.12</cx:f>
      </cx:strDim>
      <cx:numDim type="val">
        <cx:f>_xlchart.v2.14</cx:f>
      </cx:numDim>
    </cx:data>
  </cx:chartData>
  <cx:chart>
    <cx:title pos="t" align="ctr" overlay="0"/>
    <cx:plotArea>
      <cx:plotAreaRegion>
        <cx:series layoutId="funnel" uniqueId="{00000000-4511-874D-9D3B-2975B63E6EF1}">
          <cx:tx>
            <cx:txData>
              <cx:f>_xlchart.v2.13</cx:f>
              <cx:v>p_total</cx:v>
            </cx:txData>
          </cx:tx>
          <cx:dataLabels>
            <cx:visibility seriesName="0" categoryName="0" value="1"/>
          </cx:dataLabels>
          <cx:dataId val="0"/>
        </cx:series>
      </cx:plotAreaRegion>
      <cx:axis id="0">
        <cx:catScaling gapWidth="0.150000006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2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2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2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2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2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 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 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3.xml" 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4.xml" 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5.xml" 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 /><Relationship Id="rId2" Type="http://schemas.openxmlformats.org/officeDocument/2006/relationships/chart" Target="../charts/chart2.xml" /><Relationship Id="rId1" Type="http://schemas.openxmlformats.org/officeDocument/2006/relationships/chart" Target="../charts/chart1.xml" 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 /><Relationship Id="rId2" Type="http://schemas.openxmlformats.org/officeDocument/2006/relationships/chart" Target="../charts/chart5.xml" /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54428</xdr:colOff>
      <xdr:row>2</xdr:row>
      <xdr:rowOff>110339</xdr:rowOff>
    </xdr:from>
    <xdr:to>
      <xdr:col>1</xdr:col>
      <xdr:colOff>262244</xdr:colOff>
      <xdr:row>92</xdr:row>
      <xdr:rowOff>74220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0539B174-508A-2F5C-0F49-26BE5E11813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41564</xdr:colOff>
      <xdr:row>2</xdr:row>
      <xdr:rowOff>54922</xdr:rowOff>
    </xdr:from>
    <xdr:to>
      <xdr:col>1</xdr:col>
      <xdr:colOff>86097</xdr:colOff>
      <xdr:row>93</xdr:row>
      <xdr:rowOff>154378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6F734564-B97B-78F2-4D89-85B039B9B13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51953</xdr:colOff>
      <xdr:row>2</xdr:row>
      <xdr:rowOff>89064</xdr:rowOff>
    </xdr:from>
    <xdr:to>
      <xdr:col>1</xdr:col>
      <xdr:colOff>267196</xdr:colOff>
      <xdr:row>92</xdr:row>
      <xdr:rowOff>183077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FD12CBC1-4F7A-ED9B-8F6E-4A1727B06A3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79170</xdr:colOff>
      <xdr:row>2</xdr:row>
      <xdr:rowOff>30676</xdr:rowOff>
    </xdr:from>
    <xdr:to>
      <xdr:col>1</xdr:col>
      <xdr:colOff>188029</xdr:colOff>
      <xdr:row>43</xdr:row>
      <xdr:rowOff>128649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8" name="Gráfico 7">
              <a:extLst>
                <a:ext uri="{FF2B5EF4-FFF2-40B4-BE49-F238E27FC236}">
                  <a16:creationId xmlns:a16="http://schemas.microsoft.com/office/drawing/2014/main" id="{F86CAD35-18C7-E0E5-41C1-C5FAC854CD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128650</xdr:colOff>
      <xdr:row>3</xdr:row>
      <xdr:rowOff>46016</xdr:rowOff>
    </xdr:from>
    <xdr:to>
      <xdr:col>1</xdr:col>
      <xdr:colOff>24741</xdr:colOff>
      <xdr:row>85</xdr:row>
      <xdr:rowOff>163285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149AFB37-0599-8304-6EC4-A1FEE8E05C9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7</xdr:col>
      <xdr:colOff>558800</xdr:colOff>
      <xdr:row>15</xdr:row>
      <xdr:rowOff>76200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6D28C61E-CFA7-4B38-AABB-4F70815DE0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16</xdr:row>
      <xdr:rowOff>38100</xdr:rowOff>
    </xdr:from>
    <xdr:to>
      <xdr:col>17</xdr:col>
      <xdr:colOff>0</xdr:colOff>
      <xdr:row>31</xdr:row>
      <xdr:rowOff>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208BCD41-D58B-41A7-9438-64F494FCD5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17</xdr:col>
      <xdr:colOff>0</xdr:colOff>
      <xdr:row>15</xdr:row>
      <xdr:rowOff>76200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BE4817C9-3758-4741-A985-A5394F38D2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17</xdr:col>
      <xdr:colOff>254000</xdr:colOff>
      <xdr:row>1</xdr:row>
      <xdr:rowOff>0</xdr:rowOff>
    </xdr:from>
    <xdr:to>
      <xdr:col>20</xdr:col>
      <xdr:colOff>254000</xdr:colOff>
      <xdr:row>31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Município">
              <a:extLst>
                <a:ext uri="{FF2B5EF4-FFF2-40B4-BE49-F238E27FC236}">
                  <a16:creationId xmlns:a16="http://schemas.microsoft.com/office/drawing/2014/main" id="{D8B3AAAE-86ED-44C0-813D-9C711AEA30B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unicípi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06000" y="190500"/>
              <a:ext cx="1828800" cy="5715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252412</xdr:colOff>
      <xdr:row>0</xdr:row>
      <xdr:rowOff>42862</xdr:rowOff>
    </xdr:from>
    <xdr:to>
      <xdr:col>6</xdr:col>
      <xdr:colOff>385762</xdr:colOff>
      <xdr:row>14</xdr:row>
      <xdr:rowOff>119062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520134E-3230-4B6B-A308-D1F3CF009B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204787</xdr:colOff>
      <xdr:row>15</xdr:row>
      <xdr:rowOff>128587</xdr:rowOff>
    </xdr:from>
    <xdr:to>
      <xdr:col>6</xdr:col>
      <xdr:colOff>338137</xdr:colOff>
      <xdr:row>30</xdr:row>
      <xdr:rowOff>14287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F76CC23-4F03-4D77-9536-D9988B252C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500062</xdr:colOff>
      <xdr:row>10</xdr:row>
      <xdr:rowOff>147637</xdr:rowOff>
    </xdr:from>
    <xdr:to>
      <xdr:col>11</xdr:col>
      <xdr:colOff>261937</xdr:colOff>
      <xdr:row>25</xdr:row>
      <xdr:rowOff>33337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69FEABB-A2F2-46C7-B9C1-E66A07B772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381000</xdr:colOff>
      <xdr:row>9</xdr:row>
      <xdr:rowOff>76200</xdr:rowOff>
    </xdr:from>
    <xdr:to>
      <xdr:col>1</xdr:col>
      <xdr:colOff>609600</xdr:colOff>
      <xdr:row>22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municipio">
              <a:extLst>
                <a:ext uri="{FF2B5EF4-FFF2-40B4-BE49-F238E27FC236}">
                  <a16:creationId xmlns:a16="http://schemas.microsoft.com/office/drawing/2014/main" id="{C7EA483F-F046-4AB1-8654-CFE371EB248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unicipi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1000" y="17907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tec" refreshedDate="46274.795297222219" createdVersion="6" refreshedVersion="6" minRefreshableVersion="3" recordCount="92" xr:uid="{59E46411-0A95-48CE-93F1-CC7837751098}">
  <cacheSource type="worksheet">
    <worksheetSource name="Tabela2"/>
  </cacheSource>
  <cacheFields count="21">
    <cacheField name="cod_ibge" numFmtId="0">
      <sharedItems containsSemiMixedTypes="0" containsString="0" containsNumber="1" containsInteger="1" minValue="3501608" maxValue="3557006"/>
    </cacheField>
    <cacheField name="municipio" numFmtId="0">
      <sharedItems count="92">
        <s v="São Paulo (SP)"/>
        <s v="Guarulhos (SP)"/>
        <s v="São Bernardo do Campo (SP)"/>
        <s v="Campinas (SP)"/>
        <s v="Mauá (SP)"/>
        <s v="Guarujá (SP)"/>
        <s v="Santo André (SP)"/>
        <s v="Osasco (SP)"/>
        <s v="Itaquaquecetuba (SP)"/>
        <s v="Diadema (SP)"/>
        <s v="São Vicente (SP)"/>
        <s v="Carapicuíba (SP)"/>
        <s v="Embu das Artes (SP)"/>
        <s v="Santos (SP)"/>
        <s v="Taboão da Serra (SP)"/>
        <s v="Cubatão (SP)"/>
        <s v="Ferraz de Vasconcelos (SP)"/>
        <s v="São Sebastião (SP)"/>
        <s v="Ribeirão Preto (SP)"/>
        <s v="Francisco Morato (SP)"/>
        <s v="Praia Grande (SP)"/>
        <s v="Suzano (SP)"/>
        <s v="Jundiaí (SP)"/>
        <s v="Mogi das Cruzes (SP)"/>
        <s v="Bertioga (SP)"/>
        <s v="Ubatuba (SP)"/>
        <s v="Várzea Paulista (SP)"/>
        <s v="Franco da Rocha (SP)"/>
        <s v="Itapecerica da Serra (SP)"/>
        <s v="Itapevi (SP)"/>
        <s v="Sorocaba (SP)"/>
        <s v="Sumaré (SP)"/>
        <s v="Cotia (SP)"/>
        <s v="Cajamar (SP)"/>
        <s v="Piracicaba (SP)"/>
        <s v="Campos do Jordão (SP)"/>
        <s v="Barueri (SP)"/>
        <s v="Caieiras (SP)"/>
        <s v="Ilhabela (SP)"/>
        <s v="São José dos Campos (SP)"/>
        <s v="Jacareí (SP)"/>
        <s v="Bauru (SP)"/>
        <s v="Caraguatatuba (SP)"/>
        <s v="Atibaia (SP)"/>
        <s v="Rio Grande da Serra (SP)"/>
        <s v="Jandira (SP)"/>
        <s v="Votorantim (SP)"/>
        <s v="Ribeirão Pires (SP)"/>
        <s v="Hortolândia (SP)"/>
        <s v="Santana de Parnaíba (SP)"/>
        <s v="Mairiporã (SP)"/>
        <s v="Campo Limpo Paulista (SP)"/>
        <s v="Itu (SP)"/>
        <s v="Marília (SP)"/>
        <s v="Pirapora do Bom Jesus (SP)"/>
        <s v="Tremembé (SP)"/>
        <s v="São Roque (SP)"/>
        <s v="Biritiba Mirim (SP)"/>
        <s v="Poá (SP)"/>
        <s v="Cosmópolis (SP)"/>
        <s v="São Pedro (SP)"/>
        <s v="Arujá (SP)"/>
        <s v="Ibiúna (SP)"/>
        <s v="Porto Ferreira (SP)"/>
        <s v="Cruzeiro (SP)"/>
        <s v="Lorena (SP)"/>
        <s v="Guaratinguetá (SP)"/>
        <s v="Santa Cruz do Rio Pardo (SP)"/>
        <s v="Cabreúva (SP)"/>
        <s v="Embu-Guaçu (SP)"/>
        <s v="Bananal (SP)"/>
        <s v="São Carlos (SP)"/>
        <s v="Capivari (SP)"/>
        <s v="Itirapina (SP)"/>
        <s v="Botucatu (SP)"/>
        <s v="Mairinque (SP)"/>
        <s v="Itanhaém (SP)"/>
        <s v="Rio Claro (SP)"/>
        <s v="Americana (SP)"/>
        <s v="Cordeirópolis (SP)"/>
        <s v="Amparo (SP)"/>
        <s v="Caçapava (SP)"/>
        <s v="Salto (SP)"/>
        <s v="Peruíbe (SP)"/>
        <s v="Ibirarema (SP)"/>
        <s v="Louveira (SP)"/>
        <s v="Bragança Paulista (SP)"/>
        <s v="Avaré (SP)"/>
        <s v="Pederneiras (SP)"/>
        <s v="Tabatinga (SP)"/>
        <s v="Pindamonhangaba (SP)"/>
        <s v="Presidente Epitácio (SP)"/>
      </sharedItems>
    </cacheField>
    <cacheField name="num_FC" numFmtId="0">
      <sharedItems containsSemiMixedTypes="0" containsString="0" containsNumber="1" containsInteger="1" minValue="1" maxValue="1359"/>
    </cacheField>
    <cacheField name="km2" numFmtId="0">
      <sharedItems containsSemiMixedTypes="0" containsString="0" containsNumber="1" minValue="1.0999999999999999E-2" maxValue="63.624000000000002"/>
    </cacheField>
    <cacheField name="hectare" numFmtId="0">
      <sharedItems containsSemiMixedTypes="0" containsString="0" containsNumber="1" minValue="1.1000000000000001" maxValue="6362.4"/>
    </cacheField>
    <cacheField name="hab/ha" numFmtId="0">
      <sharedItems containsSemiMixedTypes="0" containsString="0" containsNumber="1" minValue="4" maxValue="403.9"/>
    </cacheField>
    <cacheField name="p_total" numFmtId="0">
      <sharedItems containsSemiMixedTypes="0" containsString="0" containsNumber="1" containsInteger="1" minValue="96" maxValue="1728265"/>
    </cacheField>
    <cacheField name="Branca" numFmtId="0">
      <sharedItems containsSemiMixedTypes="0" containsString="0" containsNumber="1" containsInteger="1" minValue="30" maxValue="577027"/>
    </cacheField>
    <cacheField name="Preta" numFmtId="0">
      <sharedItems containsSemiMixedTypes="0" containsString="0" containsNumber="1" containsInteger="1" minValue="5" maxValue="247842"/>
    </cacheField>
    <cacheField name="porcentagem_pretos" numFmtId="9">
      <sharedItems containsSemiMixedTypes="0" containsString="0" containsNumber="1" minValue="4.0604656294825112E-2" maxValue="0.22284122562674094"/>
    </cacheField>
    <cacheField name="Amarela" numFmtId="0">
      <sharedItems containsString="0" containsBlank="1" containsNumber="1" containsInteger="1" minValue="1" maxValue="1464"/>
    </cacheField>
    <cacheField name="Parda" numFmtId="0">
      <sharedItems containsSemiMixedTypes="0" containsString="0" containsNumber="1" containsInteger="1" minValue="61" maxValue="899623"/>
    </cacheField>
    <cacheField name="Indígena" numFmtId="0">
      <sharedItems containsString="0" containsBlank="1" containsNumber="1" containsInteger="1" minValue="1" maxValue="2161"/>
    </cacheField>
    <cacheField name="Sem Declaração" numFmtId="0">
      <sharedItems containsString="0" containsBlank="1" containsNumber="1" containsInteger="1" minValue="1" maxValue="148"/>
    </cacheField>
    <cacheField name="d_total" numFmtId="0">
      <sharedItems containsSemiMixedTypes="0" containsString="0" containsNumber="1" containsInteger="1" minValue="46" maxValue="653891"/>
    </cacheField>
    <cacheField name="DP" numFmtId="0">
      <sharedItems containsSemiMixedTypes="0" containsString="0" containsNumber="1" containsInteger="1" minValue="45" maxValue="653859"/>
    </cacheField>
    <cacheField name="DPPO" numFmtId="0">
      <sharedItems containsSemiMixedTypes="0" containsString="0" containsNumber="1" containsInteger="1" minValue="24" maxValue="587061"/>
    </cacheField>
    <cacheField name="DPPNOV" numFmtId="0">
      <sharedItems containsString="0" containsBlank="1" containsNumber="1" containsInteger="1" minValue="1" maxValue="56709"/>
    </cacheField>
    <cacheField name="DPPNOUO" numFmtId="0">
      <sharedItems containsString="0" containsBlank="1" containsNumber="1" containsInteger="1" minValue="1" maxValue="6008"/>
    </cacheField>
    <cacheField name="DPI" numFmtId="0">
      <sharedItems containsString="0" containsBlank="1" containsNumber="1" containsInteger="1" minValue="1" maxValue="4081"/>
    </cacheField>
    <cacheField name="DC" numFmtId="0">
      <sharedItems containsString="0" containsBlank="1" containsNumber="1" containsInteger="1" minValue="1" maxValue="32"/>
    </cacheField>
  </cacheFields>
  <extLst>
    <ext xmlns:x14="http://schemas.microsoft.com/office/spreadsheetml/2009/9/main" uri="{725AE2AE-9491-48be-B2B4-4EB974FC3084}">
      <x14:pivotCacheDefinition pivotCacheId="37082770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">
  <r>
    <n v="3550308"/>
    <x v="0"/>
    <n v="1359"/>
    <n v="63.624000000000002"/>
    <n v="6362.4"/>
    <n v="271.60000000000002"/>
    <n v="1728265"/>
    <n v="577027"/>
    <n v="247842"/>
    <n v="0.14340509123311529"/>
    <n v="1464"/>
    <n v="899623"/>
    <n v="2161"/>
    <n v="148"/>
    <n v="653891"/>
    <n v="653859"/>
    <n v="587061"/>
    <n v="56709"/>
    <n v="6008"/>
    <n v="4081"/>
    <n v="32"/>
  </r>
  <r>
    <n v="3518800"/>
    <x v="1"/>
    <n v="170"/>
    <n v="11.244999999999999"/>
    <n v="1124.5"/>
    <n v="192.1"/>
    <n v="215969"/>
    <n v="71565"/>
    <n v="27286"/>
    <n v="0.12634220652038025"/>
    <n v="322"/>
    <n v="116522"/>
    <n v="265"/>
    <n v="9"/>
    <n v="76471"/>
    <n v="76467"/>
    <n v="69853"/>
    <n v="5514"/>
    <n v="924"/>
    <n v="176"/>
    <n v="4"/>
  </r>
  <r>
    <n v="3548708"/>
    <x v="2"/>
    <n v="94"/>
    <n v="5.2930000000000001"/>
    <n v="529.29999999999995"/>
    <n v="299"/>
    <n v="158274"/>
    <n v="61810"/>
    <n v="17151"/>
    <n v="0.10836271276394101"/>
    <n v="159"/>
    <n v="78933"/>
    <n v="219"/>
    <n v="2"/>
    <n v="59234"/>
    <n v="59231"/>
    <n v="55240"/>
    <n v="3604"/>
    <n v="366"/>
    <n v="21"/>
    <n v="3"/>
  </r>
  <r>
    <n v="3509502"/>
    <x v="3"/>
    <n v="118"/>
    <n v="14.019"/>
    <n v="1401.9"/>
    <n v="100.4"/>
    <n v="140784"/>
    <n v="46576"/>
    <n v="18788"/>
    <n v="0.13345266507557677"/>
    <n v="132"/>
    <n v="75059"/>
    <n v="229"/>
    <m/>
    <n v="49646"/>
    <n v="49635"/>
    <n v="45629"/>
    <n v="3205"/>
    <n v="694"/>
    <n v="107"/>
    <n v="11"/>
  </r>
  <r>
    <n v="3529401"/>
    <x v="4"/>
    <n v="60"/>
    <n v="5.8680000000000003"/>
    <n v="586.79999999999995"/>
    <n v="196.4"/>
    <n v="115251"/>
    <n v="43495"/>
    <n v="13103"/>
    <n v="0.11369098749685469"/>
    <n v="95"/>
    <n v="58441"/>
    <n v="116"/>
    <n v="1"/>
    <n v="44161"/>
    <n v="44160"/>
    <n v="40127"/>
    <n v="3749"/>
    <n v="226"/>
    <n v="58"/>
    <n v="1"/>
  </r>
  <r>
    <n v="3518701"/>
    <x v="5"/>
    <n v="55"/>
    <n v="6.14"/>
    <n v="614"/>
    <n v="172.7"/>
    <n v="106010"/>
    <n v="33936"/>
    <n v="12036"/>
    <n v="0.11353645882463918"/>
    <n v="130"/>
    <n v="59709"/>
    <n v="194"/>
    <n v="5"/>
    <n v="39413"/>
    <n v="39403"/>
    <n v="34443"/>
    <n v="3508"/>
    <n v="1349"/>
    <n v="103"/>
    <n v="10"/>
  </r>
  <r>
    <n v="3547809"/>
    <x v="6"/>
    <n v="76"/>
    <n v="3.403"/>
    <n v="340.3"/>
    <n v="291.5"/>
    <n v="99187"/>
    <n v="37421"/>
    <n v="11904"/>
    <n v="0.12001572786756329"/>
    <n v="66"/>
    <n v="49678"/>
    <n v="104"/>
    <n v="14"/>
    <n v="37433"/>
    <n v="37431"/>
    <n v="33905"/>
    <n v="3000"/>
    <n v="479"/>
    <n v="47"/>
    <n v="2"/>
  </r>
  <r>
    <n v="3534401"/>
    <x v="7"/>
    <n v="84"/>
    <n v="2.919"/>
    <n v="291.89999999999998"/>
    <n v="336.4"/>
    <n v="98207"/>
    <n v="33794"/>
    <n v="11901"/>
    <n v="0.12118280774282893"/>
    <n v="61"/>
    <n v="52351"/>
    <n v="90"/>
    <n v="10"/>
    <n v="33927"/>
    <n v="33923"/>
    <n v="31491"/>
    <n v="1623"/>
    <n v="241"/>
    <n v="568"/>
    <n v="4"/>
  </r>
  <r>
    <n v="3523107"/>
    <x v="8"/>
    <n v="69"/>
    <n v="7.0940000000000003"/>
    <n v="709.4"/>
    <n v="128.69999999999999"/>
    <n v="91317"/>
    <n v="31211"/>
    <n v="10239"/>
    <n v="0.11212589112651533"/>
    <n v="115"/>
    <n v="49587"/>
    <n v="165"/>
    <m/>
    <n v="32846"/>
    <n v="32845"/>
    <n v="29208"/>
    <n v="3152"/>
    <n v="464"/>
    <n v="21"/>
    <n v="1"/>
  </r>
  <r>
    <n v="3513801"/>
    <x v="9"/>
    <n v="109"/>
    <n v="2.1760000000000002"/>
    <n v="217.6"/>
    <n v="403.9"/>
    <n v="87887"/>
    <n v="33814"/>
    <n v="9612"/>
    <n v="0.10936771081047254"/>
    <n v="85"/>
    <n v="44331"/>
    <n v="43"/>
    <n v="2"/>
    <n v="33125"/>
    <n v="33124"/>
    <n v="30912"/>
    <n v="2051"/>
    <n v="154"/>
    <n v="7"/>
    <n v="1"/>
  </r>
  <r>
    <n v="3551009"/>
    <x v="10"/>
    <n v="38"/>
    <n v="6.5789999999999997"/>
    <n v="657.9"/>
    <n v="130.19999999999999"/>
    <n v="85652"/>
    <n v="28535"/>
    <n v="11987"/>
    <n v="0.13995003035539158"/>
    <n v="70"/>
    <n v="44966"/>
    <n v="91"/>
    <n v="3"/>
    <n v="32562"/>
    <n v="32558"/>
    <n v="28888"/>
    <n v="3408"/>
    <n v="162"/>
    <n v="100"/>
    <n v="4"/>
  </r>
  <r>
    <n v="3510609"/>
    <x v="11"/>
    <n v="66"/>
    <n v="2.0219999999999998"/>
    <n v="202.2"/>
    <n v="299.5"/>
    <n v="60562"/>
    <n v="21069"/>
    <n v="7881"/>
    <n v="0.13013110531356295"/>
    <n v="47"/>
    <n v="31494"/>
    <n v="61"/>
    <n v="10"/>
    <n v="21692"/>
    <n v="21692"/>
    <n v="20409"/>
    <n v="1165"/>
    <n v="103"/>
    <n v="15"/>
    <m/>
  </r>
  <r>
    <n v="3515004"/>
    <x v="12"/>
    <n v="59"/>
    <n v="4.5810000000000004"/>
    <n v="458.1"/>
    <n v="116.3"/>
    <n v="53297"/>
    <n v="16373"/>
    <n v="8063"/>
    <n v="0.15128431243784829"/>
    <n v="49"/>
    <n v="28755"/>
    <n v="50"/>
    <n v="7"/>
    <n v="21312"/>
    <n v="21312"/>
    <n v="18218"/>
    <n v="2105"/>
    <n v="923"/>
    <n v="66"/>
    <m/>
  </r>
  <r>
    <n v="3548500"/>
    <x v="13"/>
    <n v="46"/>
    <n v="5.1289999999999996"/>
    <n v="512.9"/>
    <n v="90.2"/>
    <n v="46262"/>
    <n v="18279"/>
    <n v="5887"/>
    <n v="0.12725346937010937"/>
    <n v="64"/>
    <n v="21990"/>
    <n v="41"/>
    <n v="1"/>
    <n v="19257"/>
    <n v="19249"/>
    <n v="16841"/>
    <n v="2006"/>
    <n v="396"/>
    <n v="6"/>
    <n v="8"/>
  </r>
  <r>
    <n v="3552809"/>
    <x v="14"/>
    <n v="29"/>
    <n v="1.38"/>
    <n v="138"/>
    <n v="304.60000000000002"/>
    <n v="42031"/>
    <n v="14457"/>
    <n v="5980"/>
    <n v="0.14227593918774237"/>
    <n v="62"/>
    <n v="21487"/>
    <n v="45"/>
    <m/>
    <n v="16009"/>
    <n v="16009"/>
    <n v="14586"/>
    <n v="1264"/>
    <n v="152"/>
    <n v="7"/>
    <m/>
  </r>
  <r>
    <n v="3513504"/>
    <x v="15"/>
    <n v="12"/>
    <n v="3.0739999999999998"/>
    <n v="307.39999999999998"/>
    <n v="119.5"/>
    <n v="36724"/>
    <n v="11592"/>
    <n v="4587"/>
    <n v="0.12490469447772574"/>
    <n v="8"/>
    <n v="20503"/>
    <n v="34"/>
    <m/>
    <n v="15221"/>
    <n v="15218"/>
    <n v="12921"/>
    <n v="2020"/>
    <n v="274"/>
    <n v="3"/>
    <n v="3"/>
  </r>
  <r>
    <n v="3515707"/>
    <x v="16"/>
    <n v="38"/>
    <n v="2.4209999999999998"/>
    <n v="242.1"/>
    <n v="126.5"/>
    <n v="30629"/>
    <n v="10510"/>
    <n v="4141"/>
    <n v="0.1351986679290868"/>
    <n v="18"/>
    <n v="15914"/>
    <n v="45"/>
    <n v="1"/>
    <n v="11265"/>
    <n v="11263"/>
    <n v="9872"/>
    <n v="1137"/>
    <n v="142"/>
    <n v="112"/>
    <n v="2"/>
  </r>
  <r>
    <n v="3550704"/>
    <x v="17"/>
    <n v="23"/>
    <n v="3.8570000000000002"/>
    <n v="385.7"/>
    <n v="63.8"/>
    <n v="24619"/>
    <n v="8245"/>
    <n v="3030"/>
    <n v="0.12307567326048986"/>
    <n v="36"/>
    <n v="13270"/>
    <n v="37"/>
    <n v="1"/>
    <n v="10045"/>
    <n v="10041"/>
    <n v="8293"/>
    <n v="1005"/>
    <n v="734"/>
    <n v="9"/>
    <n v="4"/>
  </r>
  <r>
    <n v="3543402"/>
    <x v="18"/>
    <n v="47"/>
    <n v="1.7949999999999999"/>
    <n v="179.5"/>
    <n v="132.5"/>
    <n v="23781"/>
    <n v="6735"/>
    <n v="3289"/>
    <n v="0.13830368781800598"/>
    <n v="10"/>
    <n v="13719"/>
    <n v="26"/>
    <n v="2"/>
    <n v="8806"/>
    <n v="8806"/>
    <n v="7728"/>
    <n v="782"/>
    <n v="115"/>
    <n v="181"/>
    <m/>
  </r>
  <r>
    <n v="3516309"/>
    <x v="19"/>
    <n v="36"/>
    <n v="2.4969999999999999"/>
    <n v="249.7"/>
    <n v="90.7"/>
    <n v="22646"/>
    <n v="7521"/>
    <n v="3482"/>
    <n v="0.15375783802879095"/>
    <n v="14"/>
    <n v="11602"/>
    <n v="27"/>
    <m/>
    <n v="8363"/>
    <n v="8363"/>
    <n v="7682"/>
    <n v="630"/>
    <n v="50"/>
    <n v="1"/>
    <m/>
  </r>
  <r>
    <n v="3541000"/>
    <x v="20"/>
    <n v="12"/>
    <n v="2.125"/>
    <n v="212.5"/>
    <n v="100.3"/>
    <n v="21315"/>
    <n v="7362"/>
    <n v="2629"/>
    <n v="0.12334037063101103"/>
    <n v="23"/>
    <n v="11290"/>
    <n v="10"/>
    <n v="1"/>
    <n v="8214"/>
    <n v="8212"/>
    <n v="6962"/>
    <n v="1074"/>
    <n v="157"/>
    <n v="19"/>
    <n v="2"/>
  </r>
  <r>
    <n v="3552502"/>
    <x v="21"/>
    <n v="21"/>
    <n v="1.85"/>
    <n v="185"/>
    <n v="114.2"/>
    <n v="21126"/>
    <n v="7131"/>
    <n v="2600"/>
    <n v="0.12307109722616681"/>
    <n v="41"/>
    <n v="11322"/>
    <n v="31"/>
    <n v="1"/>
    <n v="7586"/>
    <n v="7584"/>
    <n v="6754"/>
    <n v="696"/>
    <n v="122"/>
    <n v="12"/>
    <n v="2"/>
  </r>
  <r>
    <n v="3525904"/>
    <x v="22"/>
    <n v="9"/>
    <n v="0.86699999999999999"/>
    <n v="86.7"/>
    <n v="207.6"/>
    <n v="17999"/>
    <n v="7374"/>
    <n v="1687"/>
    <n v="9.3727429301627863E-2"/>
    <n v="37"/>
    <n v="8878"/>
    <n v="23"/>
    <m/>
    <n v="6025"/>
    <n v="6025"/>
    <n v="5802"/>
    <n v="194"/>
    <n v="24"/>
    <n v="5"/>
    <m/>
  </r>
  <r>
    <n v="3530607"/>
    <x v="23"/>
    <n v="16"/>
    <n v="1.9490000000000001"/>
    <n v="194.9"/>
    <n v="90.5"/>
    <n v="17634"/>
    <n v="5980"/>
    <n v="2469"/>
    <n v="0.14001361007145288"/>
    <n v="45"/>
    <n v="9105"/>
    <n v="35"/>
    <m/>
    <n v="6299"/>
    <n v="6299"/>
    <n v="5662"/>
    <n v="534"/>
    <n v="97"/>
    <n v="6"/>
    <m/>
  </r>
  <r>
    <n v="3506359"/>
    <x v="24"/>
    <n v="24"/>
    <n v="4.0140000000000002"/>
    <n v="401.4"/>
    <n v="40.9"/>
    <n v="16400"/>
    <n v="4992"/>
    <n v="1997"/>
    <n v="0.12176829268292683"/>
    <n v="41"/>
    <n v="9296"/>
    <n v="74"/>
    <m/>
    <n v="6995"/>
    <n v="6991"/>
    <n v="5583"/>
    <n v="550"/>
    <n v="814"/>
    <n v="44"/>
    <n v="4"/>
  </r>
  <r>
    <n v="3555406"/>
    <x v="25"/>
    <n v="18"/>
    <n v="5.5090000000000003"/>
    <n v="550.9"/>
    <n v="29.7"/>
    <n v="16382"/>
    <n v="6355"/>
    <n v="1906"/>
    <n v="0.11634721035282627"/>
    <n v="27"/>
    <n v="8036"/>
    <n v="58"/>
    <m/>
    <n v="6878"/>
    <n v="6868"/>
    <n v="5496"/>
    <n v="740"/>
    <n v="614"/>
    <n v="18"/>
    <n v="10"/>
  </r>
  <r>
    <n v="3556503"/>
    <x v="26"/>
    <n v="3"/>
    <n v="0.80600000000000005"/>
    <n v="80.599999999999994"/>
    <n v="191.2"/>
    <n v="15411"/>
    <n v="5852"/>
    <n v="1746"/>
    <n v="0.11329569787813899"/>
    <n v="7"/>
    <n v="7803"/>
    <n v="3"/>
    <m/>
    <n v="5235"/>
    <n v="5234"/>
    <n v="4968"/>
    <n v="235"/>
    <n v="28"/>
    <n v="3"/>
    <n v="1"/>
  </r>
  <r>
    <n v="3516408"/>
    <x v="27"/>
    <n v="25"/>
    <n v="1.8"/>
    <n v="180"/>
    <n v="81.8"/>
    <n v="14726"/>
    <n v="4852"/>
    <n v="2106"/>
    <n v="0.14301235909276111"/>
    <n v="15"/>
    <n v="7739"/>
    <n v="14"/>
    <m/>
    <n v="5492"/>
    <n v="5492"/>
    <n v="4874"/>
    <n v="436"/>
    <n v="176"/>
    <n v="6"/>
    <m/>
  </r>
  <r>
    <n v="3522208"/>
    <x v="28"/>
    <n v="20"/>
    <n v="1.3080000000000001"/>
    <n v="130.80000000000001"/>
    <n v="108.1"/>
    <n v="14140"/>
    <n v="4786"/>
    <n v="2266"/>
    <n v="0.16025459688826024"/>
    <n v="19"/>
    <n v="7042"/>
    <n v="26"/>
    <n v="1"/>
    <n v="5909"/>
    <n v="5909"/>
    <n v="4911"/>
    <n v="629"/>
    <n v="359"/>
    <n v="10"/>
    <m/>
  </r>
  <r>
    <n v="3522505"/>
    <x v="29"/>
    <n v="20"/>
    <n v="0.65600000000000003"/>
    <n v="65.599999999999994"/>
    <n v="212.1"/>
    <n v="13911"/>
    <n v="3530"/>
    <n v="1448"/>
    <n v="0.10409028826108835"/>
    <n v="17"/>
    <n v="8909"/>
    <n v="7"/>
    <m/>
    <n v="5059"/>
    <n v="5059"/>
    <n v="4898"/>
    <n v="130"/>
    <n v="12"/>
    <n v="19"/>
    <m/>
  </r>
  <r>
    <n v="3552205"/>
    <x v="30"/>
    <n v="22"/>
    <n v="2.1560000000000001"/>
    <n v="215.6"/>
    <n v="57.7"/>
    <n v="12433"/>
    <n v="5692"/>
    <n v="1263"/>
    <n v="0.10158449288184671"/>
    <n v="14"/>
    <n v="5457"/>
    <n v="6"/>
    <n v="1"/>
    <n v="4518"/>
    <n v="4517"/>
    <n v="3911"/>
    <n v="416"/>
    <n v="99"/>
    <n v="91"/>
    <n v="1"/>
  </r>
  <r>
    <n v="3552403"/>
    <x v="31"/>
    <n v="13"/>
    <n v="1.4690000000000001"/>
    <n v="146.9"/>
    <n v="75.8"/>
    <n v="11138"/>
    <n v="3719"/>
    <n v="1349"/>
    <n v="0.12111689710899623"/>
    <n v="11"/>
    <n v="6044"/>
    <n v="15"/>
    <m/>
    <n v="4287"/>
    <n v="4287"/>
    <n v="3718"/>
    <n v="437"/>
    <n v="126"/>
    <n v="6"/>
    <m/>
  </r>
  <r>
    <n v="3513009"/>
    <x v="32"/>
    <n v="19"/>
    <n v="0.71899999999999997"/>
    <n v="71.900000000000006"/>
    <n v="154.69999999999999"/>
    <n v="11123"/>
    <n v="3554"/>
    <n v="1565"/>
    <n v="0.14069945158680211"/>
    <n v="22"/>
    <n v="5968"/>
    <n v="14"/>
    <m/>
    <n v="4141"/>
    <n v="4141"/>
    <n v="3680"/>
    <n v="410"/>
    <n v="46"/>
    <n v="5"/>
    <m/>
  </r>
  <r>
    <n v="3509205"/>
    <x v="33"/>
    <n v="21"/>
    <n v="1.645"/>
    <n v="164.5"/>
    <n v="67.400000000000006"/>
    <n v="11081"/>
    <n v="4508"/>
    <n v="1125"/>
    <n v="0.10152513311073008"/>
    <n v="5"/>
    <n v="5426"/>
    <n v="17"/>
    <m/>
    <n v="4148"/>
    <n v="4148"/>
    <n v="3751"/>
    <n v="344"/>
    <n v="53"/>
    <m/>
    <m/>
  </r>
  <r>
    <n v="3538709"/>
    <x v="34"/>
    <n v="16"/>
    <n v="0.84799999999999998"/>
    <n v="84.8"/>
    <n v="128.1"/>
    <n v="10863"/>
    <n v="3076"/>
    <n v="1766"/>
    <n v="0.16257019239620732"/>
    <n v="6"/>
    <n v="6010"/>
    <n v="5"/>
    <m/>
    <n v="4590"/>
    <n v="4588"/>
    <n v="3450"/>
    <n v="604"/>
    <n v="81"/>
    <n v="453"/>
    <n v="2"/>
  </r>
  <r>
    <n v="3509700"/>
    <x v="35"/>
    <n v="11"/>
    <n v="0.93300000000000005"/>
    <n v="93.3"/>
    <n v="97.1"/>
    <n v="9063"/>
    <n v="6056"/>
    <n v="368"/>
    <n v="4.0604656294825112E-2"/>
    <n v="3"/>
    <n v="2629"/>
    <n v="7"/>
    <m/>
    <n v="3251"/>
    <n v="3245"/>
    <n v="2905"/>
    <n v="285"/>
    <n v="54"/>
    <n v="1"/>
    <n v="6"/>
  </r>
  <r>
    <n v="3505708"/>
    <x v="36"/>
    <n v="14"/>
    <n v="0.28999999999999998"/>
    <n v="29"/>
    <n v="300.60000000000002"/>
    <n v="8717"/>
    <n v="3055"/>
    <n v="961"/>
    <n v="0.11024435012045429"/>
    <n v="9"/>
    <n v="4689"/>
    <n v="3"/>
    <m/>
    <n v="3094"/>
    <n v="3094"/>
    <n v="2925"/>
    <n v="150"/>
    <n v="19"/>
    <m/>
    <m/>
  </r>
  <r>
    <n v="3509007"/>
    <x v="37"/>
    <n v="10"/>
    <n v="0.42399999999999999"/>
    <n v="42.4"/>
    <n v="161.6"/>
    <n v="6850"/>
    <n v="2197"/>
    <n v="924"/>
    <n v="0.13489051094890511"/>
    <n v="9"/>
    <n v="3696"/>
    <n v="24"/>
    <m/>
    <n v="2360"/>
    <n v="2360"/>
    <n v="2233"/>
    <n v="121"/>
    <n v="6"/>
    <m/>
    <m/>
  </r>
  <r>
    <n v="3520400"/>
    <x v="38"/>
    <n v="13"/>
    <n v="1.0960000000000001"/>
    <n v="109.6"/>
    <n v="62.3"/>
    <n v="6833"/>
    <n v="2557"/>
    <n v="725"/>
    <n v="0.10610273671886433"/>
    <n v="18"/>
    <n v="3475"/>
    <n v="58"/>
    <m/>
    <n v="2598"/>
    <n v="2597"/>
    <n v="2318"/>
    <n v="125"/>
    <n v="153"/>
    <n v="1"/>
    <n v="1"/>
  </r>
  <r>
    <n v="3549904"/>
    <x v="39"/>
    <n v="12"/>
    <n v="1.121"/>
    <n v="112.1"/>
    <n v="58"/>
    <n v="6497"/>
    <n v="2604"/>
    <n v="707"/>
    <n v="0.10881945513313837"/>
    <n v="2"/>
    <n v="3174"/>
    <n v="10"/>
    <m/>
    <n v="2349"/>
    <n v="2348"/>
    <n v="2171"/>
    <n v="140"/>
    <n v="27"/>
    <n v="10"/>
    <n v="1"/>
  </r>
  <r>
    <n v="3524402"/>
    <x v="40"/>
    <n v="10"/>
    <n v="0.90600000000000003"/>
    <n v="90.6"/>
    <n v="70.3"/>
    <n v="6365"/>
    <n v="2737"/>
    <n v="679"/>
    <n v="0.10667714061272585"/>
    <n v="8"/>
    <n v="2936"/>
    <n v="5"/>
    <m/>
    <n v="2402"/>
    <n v="2402"/>
    <n v="2109"/>
    <n v="259"/>
    <n v="34"/>
    <m/>
    <m/>
  </r>
  <r>
    <n v="3506003"/>
    <x v="41"/>
    <n v="15"/>
    <n v="2.38"/>
    <n v="238"/>
    <n v="26.5"/>
    <n v="6310"/>
    <n v="2311"/>
    <n v="745"/>
    <n v="0.11806656101426308"/>
    <n v="4"/>
    <n v="3242"/>
    <n v="8"/>
    <m/>
    <n v="2586"/>
    <n v="2586"/>
    <n v="2018"/>
    <n v="317"/>
    <n v="187"/>
    <n v="64"/>
    <m/>
  </r>
  <r>
    <n v="3510500"/>
    <x v="42"/>
    <n v="12"/>
    <n v="1.296"/>
    <n v="129.6"/>
    <n v="43.2"/>
    <n v="5601"/>
    <n v="2398"/>
    <n v="562"/>
    <n v="0.10033922513836815"/>
    <n v="2"/>
    <n v="2622"/>
    <n v="17"/>
    <m/>
    <n v="2396"/>
    <n v="2396"/>
    <n v="1833"/>
    <n v="263"/>
    <n v="261"/>
    <n v="39"/>
    <m/>
  </r>
  <r>
    <n v="3504107"/>
    <x v="43"/>
    <n v="11"/>
    <n v="0.78800000000000003"/>
    <n v="78.8"/>
    <n v="68.099999999999994"/>
    <n v="5370"/>
    <n v="2526"/>
    <n v="450"/>
    <n v="8.3798882681564241E-2"/>
    <n v="16"/>
    <n v="2371"/>
    <n v="7"/>
    <m/>
    <n v="1961"/>
    <n v="1960"/>
    <n v="1761"/>
    <n v="151"/>
    <n v="42"/>
    <n v="6"/>
    <n v="1"/>
  </r>
  <r>
    <n v="3544103"/>
    <x v="44"/>
    <n v="7"/>
    <n v="0.70899999999999996"/>
    <n v="70.900000000000006"/>
    <n v="73.3"/>
    <n v="5195"/>
    <n v="2055"/>
    <n v="576"/>
    <n v="0.11087584215591915"/>
    <n v="3"/>
    <n v="2550"/>
    <n v="11"/>
    <m/>
    <n v="2049"/>
    <n v="2048"/>
    <n v="1842"/>
    <n v="178"/>
    <n v="28"/>
    <m/>
    <n v="1"/>
  </r>
  <r>
    <n v="3525003"/>
    <x v="45"/>
    <n v="8"/>
    <n v="0.20599999999999999"/>
    <n v="20.6"/>
    <n v="241.5"/>
    <n v="4974"/>
    <n v="1570"/>
    <n v="826"/>
    <n v="0.16606353035786087"/>
    <n v="3"/>
    <n v="2575"/>
    <m/>
    <m/>
    <n v="1891"/>
    <n v="1891"/>
    <n v="1692"/>
    <n v="189"/>
    <n v="6"/>
    <n v="4"/>
    <m/>
  </r>
  <r>
    <n v="3557006"/>
    <x v="46"/>
    <n v="9"/>
    <n v="0.55300000000000005"/>
    <n v="55.3"/>
    <n v="89"/>
    <n v="4919"/>
    <n v="2028"/>
    <n v="512"/>
    <n v="0.10408619638137832"/>
    <n v="3"/>
    <n v="2371"/>
    <n v="5"/>
    <m/>
    <n v="1613"/>
    <n v="1613"/>
    <n v="1404"/>
    <n v="77"/>
    <n v="14"/>
    <n v="118"/>
    <m/>
  </r>
  <r>
    <n v="3543303"/>
    <x v="47"/>
    <n v="4"/>
    <n v="0.315"/>
    <n v="31.5"/>
    <n v="148.5"/>
    <n v="4678"/>
    <n v="1681"/>
    <n v="525"/>
    <n v="0.11222744762719111"/>
    <m/>
    <n v="2471"/>
    <n v="1"/>
    <m/>
    <n v="1773"/>
    <n v="1773"/>
    <n v="1629"/>
    <n v="90"/>
    <n v="5"/>
    <n v="49"/>
    <m/>
  </r>
  <r>
    <n v="3519071"/>
    <x v="48"/>
    <n v="7"/>
    <n v="0.35799999999999998"/>
    <n v="35.799999999999997"/>
    <n v="118"/>
    <n v="4223"/>
    <n v="1270"/>
    <n v="519"/>
    <n v="0.12289841345015391"/>
    <n v="2"/>
    <n v="2422"/>
    <n v="10"/>
    <m/>
    <n v="1447"/>
    <n v="1447"/>
    <n v="1366"/>
    <n v="66"/>
    <n v="15"/>
    <m/>
    <m/>
  </r>
  <r>
    <n v="3547304"/>
    <x v="49"/>
    <n v="8"/>
    <n v="0.29799999999999999"/>
    <n v="29.8"/>
    <n v="127.3"/>
    <n v="3793"/>
    <n v="1165"/>
    <n v="376"/>
    <n v="9.9129976272080145E-2"/>
    <n v="2"/>
    <n v="2247"/>
    <n v="3"/>
    <m/>
    <n v="1356"/>
    <n v="1356"/>
    <n v="1266"/>
    <n v="83"/>
    <n v="7"/>
    <m/>
    <m/>
  </r>
  <r>
    <n v="3528502"/>
    <x v="50"/>
    <n v="11"/>
    <n v="0.65300000000000002"/>
    <n v="65.3"/>
    <n v="53.2"/>
    <n v="3475"/>
    <n v="1406"/>
    <n v="346"/>
    <n v="9.9568345323741009E-2"/>
    <n v="3"/>
    <n v="1716"/>
    <n v="4"/>
    <m/>
    <n v="1319"/>
    <n v="1319"/>
    <n v="1181"/>
    <n v="107"/>
    <n v="30"/>
    <n v="1"/>
    <m/>
  </r>
  <r>
    <n v="3509601"/>
    <x v="51"/>
    <n v="5"/>
    <n v="0.98099999999999998"/>
    <n v="98.1"/>
    <n v="34.1"/>
    <n v="3350"/>
    <n v="1196"/>
    <n v="455"/>
    <n v="0.13582089552238805"/>
    <n v="1"/>
    <n v="1697"/>
    <n v="1"/>
    <m/>
    <n v="1282"/>
    <n v="1282"/>
    <n v="1004"/>
    <n v="137"/>
    <n v="60"/>
    <n v="81"/>
    <m/>
  </r>
  <r>
    <n v="3523909"/>
    <x v="52"/>
    <n v="6"/>
    <n v="0.35099999999999998"/>
    <n v="35.1"/>
    <n v="92.5"/>
    <n v="3245"/>
    <n v="1291"/>
    <n v="268"/>
    <n v="8.2588597842835135E-2"/>
    <m/>
    <n v="1686"/>
    <m/>
    <m/>
    <n v="1260"/>
    <n v="1260"/>
    <n v="1061"/>
    <n v="165"/>
    <n v="28"/>
    <n v="6"/>
    <m/>
  </r>
  <r>
    <n v="3529005"/>
    <x v="53"/>
    <n v="13"/>
    <n v="0.75800000000000001"/>
    <n v="75.8"/>
    <n v="42.1"/>
    <n v="3190"/>
    <n v="1127"/>
    <n v="413"/>
    <n v="0.12946708463949844"/>
    <n v="4"/>
    <n v="1636"/>
    <n v="10"/>
    <m/>
    <n v="1222"/>
    <n v="1222"/>
    <n v="1084"/>
    <n v="127"/>
    <n v="10"/>
    <n v="1"/>
    <m/>
  </r>
  <r>
    <n v="3539103"/>
    <x v="54"/>
    <n v="4"/>
    <n v="0.21299999999999999"/>
    <n v="21.3"/>
    <n v="139.80000000000001"/>
    <n v="2978"/>
    <n v="897"/>
    <n v="436"/>
    <n v="0.14640698455339154"/>
    <n v="1"/>
    <n v="1628"/>
    <n v="16"/>
    <m/>
    <n v="982"/>
    <n v="982"/>
    <n v="901"/>
    <n v="57"/>
    <n v="20"/>
    <n v="4"/>
    <m/>
  </r>
  <r>
    <n v="3554805"/>
    <x v="55"/>
    <n v="6"/>
    <n v="1.64"/>
    <n v="164"/>
    <n v="17"/>
    <n v="2788"/>
    <n v="1366"/>
    <n v="196"/>
    <n v="7.0301291248206596E-2"/>
    <n v="1"/>
    <n v="1223"/>
    <n v="2"/>
    <m/>
    <n v="1166"/>
    <n v="1166"/>
    <n v="902"/>
    <n v="146"/>
    <n v="117"/>
    <n v="1"/>
    <m/>
  </r>
  <r>
    <n v="3550605"/>
    <x v="56"/>
    <n v="7"/>
    <n v="0.47499999999999998"/>
    <n v="47.5"/>
    <n v="53.1"/>
    <n v="2521"/>
    <n v="1054"/>
    <n v="254"/>
    <n v="0.10075366917889726"/>
    <n v="8"/>
    <n v="1205"/>
    <m/>
    <m/>
    <n v="884"/>
    <n v="884"/>
    <n v="791"/>
    <n v="73"/>
    <n v="19"/>
    <n v="1"/>
    <m/>
  </r>
  <r>
    <n v="3506607"/>
    <x v="57"/>
    <n v="4"/>
    <n v="0.14599999999999999"/>
    <n v="14.6"/>
    <n v="164.4"/>
    <n v="2400"/>
    <n v="1023"/>
    <n v="191"/>
    <n v="7.9583333333333339E-2"/>
    <m/>
    <n v="1181"/>
    <n v="5"/>
    <m/>
    <n v="886"/>
    <n v="886"/>
    <n v="795"/>
    <n v="70"/>
    <n v="21"/>
    <m/>
    <m/>
  </r>
  <r>
    <n v="3539806"/>
    <x v="58"/>
    <n v="4"/>
    <n v="0.27200000000000002"/>
    <n v="27.2"/>
    <n v="75"/>
    <n v="2040"/>
    <n v="723"/>
    <n v="254"/>
    <n v="0.12450980392156863"/>
    <n v="4"/>
    <n v="1055"/>
    <n v="4"/>
    <m/>
    <n v="775"/>
    <n v="775"/>
    <n v="677"/>
    <n v="73"/>
    <n v="25"/>
    <m/>
    <m/>
  </r>
  <r>
    <n v="3512803"/>
    <x v="59"/>
    <n v="4"/>
    <n v="0.16500000000000001"/>
    <n v="16.5"/>
    <n v="100.1"/>
    <n v="1652"/>
    <n v="468"/>
    <n v="250"/>
    <n v="0.1513317191283293"/>
    <n v="1"/>
    <n v="933"/>
    <m/>
    <m/>
    <n v="716"/>
    <n v="716"/>
    <n v="597"/>
    <n v="73"/>
    <n v="44"/>
    <n v="2"/>
    <m/>
  </r>
  <r>
    <n v="3550407"/>
    <x v="60"/>
    <n v="1"/>
    <n v="0.20899999999999999"/>
    <n v="20.9"/>
    <n v="74.5"/>
    <n v="1557"/>
    <n v="704"/>
    <n v="107"/>
    <n v="6.8721901091843285E-2"/>
    <m/>
    <n v="746"/>
    <m/>
    <m/>
    <n v="472"/>
    <n v="472"/>
    <n v="441"/>
    <n v="16"/>
    <n v="1"/>
    <n v="14"/>
    <m/>
  </r>
  <r>
    <n v="3503901"/>
    <x v="61"/>
    <n v="4"/>
    <n v="0.33800000000000002"/>
    <n v="33.799999999999997"/>
    <n v="40.5"/>
    <n v="1368"/>
    <n v="466"/>
    <n v="143"/>
    <n v="0.10453216374269006"/>
    <n v="1"/>
    <n v="758"/>
    <m/>
    <m/>
    <n v="460"/>
    <n v="460"/>
    <n v="409"/>
    <n v="32"/>
    <n v="19"/>
    <m/>
    <m/>
  </r>
  <r>
    <n v="3519709"/>
    <x v="62"/>
    <n v="3"/>
    <n v="0.19800000000000001"/>
    <n v="19.8"/>
    <n v="63.2"/>
    <n v="1252"/>
    <n v="625"/>
    <n v="121"/>
    <n v="9.6645367412140581E-2"/>
    <n v="6"/>
    <n v="491"/>
    <n v="9"/>
    <m/>
    <n v="466"/>
    <n v="466"/>
    <n v="408"/>
    <n v="49"/>
    <n v="8"/>
    <n v="1"/>
    <m/>
  </r>
  <r>
    <n v="3540705"/>
    <x v="63"/>
    <n v="1"/>
    <n v="0.16900000000000001"/>
    <n v="16.899999999999999"/>
    <n v="73"/>
    <n v="1234"/>
    <n v="343"/>
    <n v="97"/>
    <n v="7.8606158833063211E-2"/>
    <m/>
    <n v="794"/>
    <m/>
    <m/>
    <n v="430"/>
    <n v="430"/>
    <n v="375"/>
    <n v="48"/>
    <n v="7"/>
    <m/>
    <m/>
  </r>
  <r>
    <n v="3513405"/>
    <x v="64"/>
    <n v="4"/>
    <n v="0.126"/>
    <n v="12.6"/>
    <n v="88"/>
    <n v="1109"/>
    <n v="499"/>
    <n v="114"/>
    <n v="0.10279531109107304"/>
    <n v="1"/>
    <n v="495"/>
    <m/>
    <m/>
    <n v="393"/>
    <n v="393"/>
    <n v="344"/>
    <n v="26"/>
    <n v="22"/>
    <n v="1"/>
    <m/>
  </r>
  <r>
    <n v="3527207"/>
    <x v="65"/>
    <n v="1"/>
    <n v="0.12"/>
    <n v="12"/>
    <n v="85.4"/>
    <n v="1025"/>
    <n v="419"/>
    <n v="93"/>
    <n v="9.0731707317073168E-2"/>
    <m/>
    <n v="513"/>
    <m/>
    <m/>
    <n v="336"/>
    <n v="336"/>
    <n v="306"/>
    <n v="24"/>
    <n v="6"/>
    <m/>
    <m/>
  </r>
  <r>
    <n v="3518404"/>
    <x v="66"/>
    <n v="1"/>
    <n v="0.22900000000000001"/>
    <n v="22.9"/>
    <n v="44.1"/>
    <n v="1011"/>
    <n v="452"/>
    <n v="89"/>
    <n v="8.803165182987141E-2"/>
    <m/>
    <n v="470"/>
    <m/>
    <m/>
    <n v="360"/>
    <n v="360"/>
    <n v="246"/>
    <n v="48"/>
    <n v="3"/>
    <n v="63"/>
    <m/>
  </r>
  <r>
    <n v="3546405"/>
    <x v="67"/>
    <n v="1"/>
    <n v="0.18099999999999999"/>
    <n v="18.100000000000001"/>
    <n v="55"/>
    <n v="995"/>
    <n v="415"/>
    <n v="144"/>
    <n v="0.14472361809045226"/>
    <m/>
    <n v="435"/>
    <n v="1"/>
    <m/>
    <n v="323"/>
    <n v="323"/>
    <n v="293"/>
    <n v="25"/>
    <n v="5"/>
    <m/>
    <m/>
  </r>
  <r>
    <n v="3508405"/>
    <x v="68"/>
    <n v="4"/>
    <n v="0.113"/>
    <n v="11.3"/>
    <n v="84.1"/>
    <n v="950"/>
    <n v="391"/>
    <n v="61"/>
    <n v="6.4210526315789468E-2"/>
    <m/>
    <n v="498"/>
    <m/>
    <m/>
    <n v="329"/>
    <n v="329"/>
    <n v="296"/>
    <n v="25"/>
    <n v="8"/>
    <m/>
    <m/>
  </r>
  <r>
    <n v="3515103"/>
    <x v="69"/>
    <n v="4"/>
    <n v="8.1000000000000003E-2"/>
    <n v="8.1"/>
    <n v="111.4"/>
    <n v="902"/>
    <n v="281"/>
    <n v="76"/>
    <n v="8.4257206208425722E-2"/>
    <n v="4"/>
    <n v="540"/>
    <n v="1"/>
    <m/>
    <n v="343"/>
    <n v="343"/>
    <n v="289"/>
    <n v="42"/>
    <n v="12"/>
    <m/>
    <m/>
  </r>
  <r>
    <n v="3504909"/>
    <x v="70"/>
    <n v="2"/>
    <n v="0.14199999999999999"/>
    <n v="14.2"/>
    <n v="59.9"/>
    <n v="850"/>
    <n v="320"/>
    <n v="124"/>
    <n v="0.14588235294117646"/>
    <n v="1"/>
    <n v="405"/>
    <m/>
    <m/>
    <n v="393"/>
    <n v="393"/>
    <n v="307"/>
    <n v="66"/>
    <n v="20"/>
    <m/>
    <m/>
  </r>
  <r>
    <n v="3548906"/>
    <x v="71"/>
    <n v="5"/>
    <n v="0.17"/>
    <n v="17"/>
    <n v="46.9"/>
    <n v="798"/>
    <n v="230"/>
    <n v="94"/>
    <n v="0.11779448621553884"/>
    <n v="1"/>
    <n v="472"/>
    <n v="1"/>
    <m/>
    <n v="281"/>
    <n v="281"/>
    <n v="147"/>
    <n v="8"/>
    <n v="14"/>
    <n v="112"/>
    <m/>
  </r>
  <r>
    <n v="3510401"/>
    <x v="72"/>
    <n v="3"/>
    <n v="0.186"/>
    <n v="18.600000000000001"/>
    <n v="40.700000000000003"/>
    <n v="757"/>
    <n v="257"/>
    <n v="91"/>
    <n v="0.1202113606340819"/>
    <m/>
    <n v="408"/>
    <n v="1"/>
    <m/>
    <n v="303"/>
    <n v="303"/>
    <n v="246"/>
    <n v="38"/>
    <n v="18"/>
    <n v="1"/>
    <m/>
  </r>
  <r>
    <n v="3523602"/>
    <x v="73"/>
    <n v="2"/>
    <n v="0.20300000000000001"/>
    <n v="20.3"/>
    <n v="37.299999999999997"/>
    <n v="757"/>
    <n v="321"/>
    <n v="71"/>
    <n v="9.3791281373844126E-2"/>
    <m/>
    <n v="365"/>
    <m/>
    <m/>
    <n v="314"/>
    <n v="314"/>
    <n v="265"/>
    <n v="35"/>
    <n v="14"/>
    <m/>
    <m/>
  </r>
  <r>
    <n v="3507506"/>
    <x v="74"/>
    <n v="2"/>
    <n v="0.11600000000000001"/>
    <n v="11.6"/>
    <n v="51.9"/>
    <n v="602"/>
    <n v="235"/>
    <n v="52"/>
    <n v="8.6378737541528236E-2"/>
    <n v="2"/>
    <n v="313"/>
    <m/>
    <m/>
    <n v="258"/>
    <n v="258"/>
    <n v="203"/>
    <n v="50"/>
    <n v="5"/>
    <m/>
    <m/>
  </r>
  <r>
    <n v="3528403"/>
    <x v="75"/>
    <n v="2"/>
    <n v="0.27600000000000002"/>
    <n v="27.6"/>
    <n v="20.7"/>
    <n v="572"/>
    <n v="156"/>
    <n v="60"/>
    <n v="0.1048951048951049"/>
    <n v="3"/>
    <n v="352"/>
    <n v="1"/>
    <m/>
    <n v="210"/>
    <n v="210"/>
    <n v="179"/>
    <n v="28"/>
    <n v="3"/>
    <m/>
    <m/>
  </r>
  <r>
    <n v="3522109"/>
    <x v="76"/>
    <n v="3"/>
    <n v="0.127"/>
    <n v="12.7"/>
    <n v="43.6"/>
    <n v="554"/>
    <n v="214"/>
    <n v="49"/>
    <n v="8.8447653429602882E-2"/>
    <m/>
    <n v="290"/>
    <n v="1"/>
    <m/>
    <n v="279"/>
    <n v="279"/>
    <n v="192"/>
    <n v="24"/>
    <n v="63"/>
    <m/>
    <m/>
  </r>
  <r>
    <n v="3543907"/>
    <x v="77"/>
    <n v="3"/>
    <n v="0.21099999999999999"/>
    <n v="21.1"/>
    <n v="25.9"/>
    <n v="546"/>
    <n v="174"/>
    <n v="76"/>
    <n v="0.1391941391941392"/>
    <m/>
    <n v="296"/>
    <m/>
    <m/>
    <n v="206"/>
    <n v="206"/>
    <n v="171"/>
    <n v="17"/>
    <n v="4"/>
    <n v="14"/>
    <m/>
  </r>
  <r>
    <n v="3501608"/>
    <x v="78"/>
    <n v="1"/>
    <n v="7.4999999999999997E-2"/>
    <n v="7.5"/>
    <n v="64.099999999999994"/>
    <n v="481"/>
    <n v="145"/>
    <n v="60"/>
    <n v="0.12474012474012475"/>
    <m/>
    <n v="276"/>
    <m/>
    <m/>
    <n v="174"/>
    <n v="174"/>
    <n v="163"/>
    <n v="11"/>
    <m/>
    <m/>
    <m/>
  </r>
  <r>
    <n v="3512407"/>
    <x v="79"/>
    <n v="2"/>
    <n v="4.8000000000000001E-2"/>
    <n v="4.8"/>
    <n v="74.8"/>
    <n v="359"/>
    <n v="121"/>
    <n v="80"/>
    <n v="0.22284122562674094"/>
    <m/>
    <n v="158"/>
    <m/>
    <m/>
    <n v="100"/>
    <n v="100"/>
    <n v="100"/>
    <m/>
    <m/>
    <m/>
    <m/>
  </r>
  <r>
    <n v="3501905"/>
    <x v="80"/>
    <n v="1"/>
    <n v="0.191"/>
    <n v="19.100000000000001"/>
    <n v="18.8"/>
    <n v="359"/>
    <n v="130"/>
    <n v="46"/>
    <n v="0.12813370473537605"/>
    <m/>
    <n v="183"/>
    <m/>
    <m/>
    <n v="145"/>
    <n v="144"/>
    <n v="110"/>
    <n v="17"/>
    <n v="17"/>
    <m/>
    <n v="1"/>
  </r>
  <r>
    <n v="3508504"/>
    <x v="81"/>
    <n v="1"/>
    <n v="2.7E-2"/>
    <n v="2.7"/>
    <n v="127"/>
    <n v="343"/>
    <n v="110"/>
    <n v="24"/>
    <n v="6.9970845481049565E-2"/>
    <m/>
    <n v="209"/>
    <m/>
    <m/>
    <n v="126"/>
    <n v="126"/>
    <n v="104"/>
    <n v="21"/>
    <n v="1"/>
    <m/>
    <m/>
  </r>
  <r>
    <n v="3545209"/>
    <x v="82"/>
    <n v="1"/>
    <n v="1.2E-2"/>
    <n v="1.2"/>
    <n v="279.2"/>
    <n v="335"/>
    <n v="111"/>
    <n v="53"/>
    <n v="0.15820895522388059"/>
    <m/>
    <n v="169"/>
    <n v="2"/>
    <m/>
    <n v="131"/>
    <n v="131"/>
    <n v="113"/>
    <n v="17"/>
    <n v="1"/>
    <m/>
    <m/>
  </r>
  <r>
    <n v="3537602"/>
    <x v="83"/>
    <n v="1"/>
    <n v="3.2000000000000001E-2"/>
    <n v="3.2"/>
    <n v="86.6"/>
    <n v="277"/>
    <n v="86"/>
    <n v="30"/>
    <n v="0.10830324909747292"/>
    <m/>
    <n v="161"/>
    <m/>
    <m/>
    <n v="98"/>
    <n v="98"/>
    <n v="87"/>
    <n v="9"/>
    <n v="2"/>
    <m/>
    <m/>
  </r>
  <r>
    <n v="3519501"/>
    <x v="84"/>
    <n v="1"/>
    <n v="2.7E-2"/>
    <n v="2.7"/>
    <n v="99.3"/>
    <n v="268"/>
    <n v="114"/>
    <n v="31"/>
    <n v="0.11567164179104478"/>
    <m/>
    <n v="123"/>
    <m/>
    <m/>
    <n v="107"/>
    <n v="107"/>
    <n v="87"/>
    <n v="18"/>
    <n v="2"/>
    <m/>
    <m/>
  </r>
  <r>
    <n v="3527306"/>
    <x v="85"/>
    <n v="1"/>
    <n v="1.0999999999999999E-2"/>
    <n v="1.1000000000000001"/>
    <n v="223.6"/>
    <n v="246"/>
    <n v="94"/>
    <n v="13"/>
    <n v="5.2845528455284556E-2"/>
    <m/>
    <n v="139"/>
    <m/>
    <m/>
    <n v="79"/>
    <n v="79"/>
    <n v="79"/>
    <m/>
    <m/>
    <m/>
    <m/>
  </r>
  <r>
    <n v="3507605"/>
    <x v="86"/>
    <n v="1"/>
    <n v="1.9E-2"/>
    <n v="1.9"/>
    <n v="117.4"/>
    <n v="223"/>
    <n v="95"/>
    <n v="17"/>
    <n v="7.623318385650224E-2"/>
    <m/>
    <n v="111"/>
    <m/>
    <m/>
    <n v="90"/>
    <n v="90"/>
    <n v="83"/>
    <n v="1"/>
    <n v="2"/>
    <n v="4"/>
    <m/>
  </r>
  <r>
    <n v="3504503"/>
    <x v="87"/>
    <n v="1"/>
    <n v="5.5E-2"/>
    <n v="5.5"/>
    <n v="30.9"/>
    <n v="170"/>
    <n v="63"/>
    <n v="12"/>
    <n v="7.0588235294117646E-2"/>
    <m/>
    <n v="95"/>
    <m/>
    <m/>
    <n v="70"/>
    <n v="70"/>
    <n v="24"/>
    <n v="20"/>
    <n v="1"/>
    <n v="25"/>
    <m/>
  </r>
  <r>
    <n v="3536703"/>
    <x v="88"/>
    <n v="1"/>
    <n v="0.39600000000000002"/>
    <n v="39.6"/>
    <n v="4"/>
    <n v="158"/>
    <n v="76"/>
    <n v="13"/>
    <n v="8.2278481012658222E-2"/>
    <n v="1"/>
    <n v="68"/>
    <m/>
    <m/>
    <n v="101"/>
    <n v="101"/>
    <n v="58"/>
    <n v="10"/>
    <n v="29"/>
    <n v="4"/>
    <m/>
  </r>
  <r>
    <n v="3552700"/>
    <x v="89"/>
    <n v="1"/>
    <n v="1.4E-2"/>
    <n v="1.4"/>
    <n v="110"/>
    <n v="154"/>
    <n v="39"/>
    <n v="12"/>
    <n v="7.792207792207792E-2"/>
    <m/>
    <n v="103"/>
    <m/>
    <m/>
    <n v="63"/>
    <n v="63"/>
    <n v="55"/>
    <n v="8"/>
    <m/>
    <m/>
    <m/>
  </r>
  <r>
    <n v="3538006"/>
    <x v="90"/>
    <n v="1"/>
    <n v="2.5000000000000001E-2"/>
    <n v="2.5"/>
    <n v="59.2"/>
    <n v="148"/>
    <n v="56"/>
    <n v="29"/>
    <n v="0.19594594594594594"/>
    <m/>
    <n v="63"/>
    <m/>
    <m/>
    <n v="60"/>
    <n v="60"/>
    <n v="48"/>
    <n v="10"/>
    <n v="2"/>
    <m/>
    <m/>
  </r>
  <r>
    <n v="3541307"/>
    <x v="91"/>
    <n v="1"/>
    <n v="7.0999999999999994E-2"/>
    <n v="7.1"/>
    <n v="13.5"/>
    <n v="96"/>
    <n v="30"/>
    <n v="5"/>
    <n v="5.2083333333333336E-2"/>
    <m/>
    <n v="61"/>
    <m/>
    <m/>
    <n v="46"/>
    <n v="45"/>
    <n v="33"/>
    <n v="8"/>
    <n v="3"/>
    <n v="1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ED17BF-D7D8-4B1E-92E9-451A8FE37409}" name="Tabela dinâmica6" cacheId="0" dataOnRows="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51">
  <location ref="A3:B9" firstHeaderRow="1" firstDataRow="1" firstDataCol="1" rowPageCount="1" colPageCount="1"/>
  <pivotFields count="21">
    <pivotField showAll="0"/>
    <pivotField axis="axisPage" multipleItemSelectionAllowed="1" showAll="0">
      <items count="93">
        <item x="78"/>
        <item x="80"/>
        <item x="61"/>
        <item x="43"/>
        <item x="87"/>
        <item x="70"/>
        <item x="36"/>
        <item x="41"/>
        <item x="24"/>
        <item x="57"/>
        <item x="74"/>
        <item x="86"/>
        <item x="68"/>
        <item x="81"/>
        <item x="37"/>
        <item x="33"/>
        <item x="3"/>
        <item x="51"/>
        <item x="35"/>
        <item x="72"/>
        <item x="42"/>
        <item x="11"/>
        <item x="79"/>
        <item x="59"/>
        <item x="32"/>
        <item x="64"/>
        <item x="15"/>
        <item x="9"/>
        <item x="12"/>
        <item x="69"/>
        <item x="16"/>
        <item x="19"/>
        <item x="27"/>
        <item x="66"/>
        <item x="5"/>
        <item x="1"/>
        <item x="48"/>
        <item x="84"/>
        <item x="62"/>
        <item x="38"/>
        <item x="76"/>
        <item x="28"/>
        <item x="29"/>
        <item x="8"/>
        <item x="73"/>
        <item x="52"/>
        <item x="40"/>
        <item x="45"/>
        <item x="22"/>
        <item x="65"/>
        <item x="85"/>
        <item x="75"/>
        <item x="50"/>
        <item x="53"/>
        <item x="4"/>
        <item x="23"/>
        <item x="7"/>
        <item x="88"/>
        <item x="83"/>
        <item x="90"/>
        <item x="34"/>
        <item x="54"/>
        <item x="58"/>
        <item x="63"/>
        <item x="20"/>
        <item x="91"/>
        <item x="47"/>
        <item x="18"/>
        <item x="77"/>
        <item x="44"/>
        <item x="82"/>
        <item x="67"/>
        <item x="49"/>
        <item x="6"/>
        <item x="13"/>
        <item x="2"/>
        <item x="71"/>
        <item x="39"/>
        <item x="0"/>
        <item x="60"/>
        <item x="56"/>
        <item x="17"/>
        <item x="10"/>
        <item x="30"/>
        <item x="31"/>
        <item x="21"/>
        <item x="89"/>
        <item x="14"/>
        <item x="55"/>
        <item x="25"/>
        <item x="26"/>
        <item x="46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numFmtId="9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-2"/>
  </rowFields>
  <rowItems count="6">
    <i>
      <x/>
    </i>
    <i i="1">
      <x v="1"/>
    </i>
    <i i="2">
      <x v="2"/>
    </i>
    <i i="3">
      <x v="3"/>
    </i>
    <i i="4">
      <x v="4"/>
    </i>
    <i i="5">
      <x v="5"/>
    </i>
  </rowItems>
  <colItems count="1">
    <i/>
  </colItems>
  <pageFields count="1">
    <pageField fld="1" hier="-1"/>
  </pageFields>
  <dataFields count="6">
    <dataField name="Média de Branca" fld="7" subtotal="average" baseField="0" baseItem="16"/>
    <dataField name="Média de Preta" fld="8" subtotal="average" baseField="0" baseItem="16"/>
    <dataField name="Média de Amarela" fld="10" subtotal="average" baseField="0" baseItem="16"/>
    <dataField name="Média de Parda" fld="11" subtotal="average" baseField="0" baseItem="16"/>
    <dataField name="Média de Indígena" fld="12" subtotal="average" baseField="0" baseItem="16"/>
    <dataField name="Média de Sem Declaração" fld="13" subtotal="average" baseField="0" baseItem="16"/>
  </dataFields>
  <chartFormats count="16">
    <chartFormat chart="5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16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17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" format="18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2" format="19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2" format="20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22" format="2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20" format="2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3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0" format="4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0" format="5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0" format="6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20" format="7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FF0413-67F8-481E-8C35-0323205825BC}" name="Tabela dinâmica7" cacheId="0" dataOnRows="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5">
  <location ref="I3:J9" firstHeaderRow="1" firstDataRow="1" firstDataCol="1" rowPageCount="1" colPageCount="1"/>
  <pivotFields count="21">
    <pivotField showAll="0"/>
    <pivotField axis="axisPage" multipleItemSelectionAllowed="1" showAll="0">
      <items count="93">
        <item x="78"/>
        <item x="80"/>
        <item x="61"/>
        <item x="43"/>
        <item x="87"/>
        <item x="70"/>
        <item x="36"/>
        <item x="41"/>
        <item x="24"/>
        <item x="57"/>
        <item x="74"/>
        <item x="86"/>
        <item x="68"/>
        <item x="81"/>
        <item x="37"/>
        <item x="33"/>
        <item x="3"/>
        <item x="51"/>
        <item x="35"/>
        <item x="72"/>
        <item x="42"/>
        <item x="11"/>
        <item x="79"/>
        <item x="59"/>
        <item x="32"/>
        <item x="64"/>
        <item x="15"/>
        <item x="9"/>
        <item x="12"/>
        <item x="69"/>
        <item x="16"/>
        <item x="19"/>
        <item x="27"/>
        <item x="66"/>
        <item x="5"/>
        <item x="1"/>
        <item x="48"/>
        <item x="84"/>
        <item x="62"/>
        <item x="38"/>
        <item x="76"/>
        <item x="28"/>
        <item x="29"/>
        <item x="8"/>
        <item x="73"/>
        <item x="52"/>
        <item x="40"/>
        <item x="45"/>
        <item x="22"/>
        <item x="65"/>
        <item x="85"/>
        <item x="75"/>
        <item x="50"/>
        <item x="53"/>
        <item x="4"/>
        <item x="23"/>
        <item x="7"/>
        <item x="88"/>
        <item x="83"/>
        <item x="90"/>
        <item x="34"/>
        <item x="54"/>
        <item x="58"/>
        <item x="63"/>
        <item x="20"/>
        <item x="91"/>
        <item x="47"/>
        <item x="18"/>
        <item x="77"/>
        <item x="44"/>
        <item x="82"/>
        <item x="67"/>
        <item x="49"/>
        <item x="6"/>
        <item x="13"/>
        <item x="2"/>
        <item x="71"/>
        <item x="39"/>
        <item x="0"/>
        <item x="60"/>
        <item x="56"/>
        <item x="17"/>
        <item x="10"/>
        <item x="30"/>
        <item x="31"/>
        <item x="21"/>
        <item x="89"/>
        <item x="14"/>
        <item x="55"/>
        <item x="25"/>
        <item x="26"/>
        <item x="4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9"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-2"/>
  </rowFields>
  <rowItems count="6">
    <i>
      <x/>
    </i>
    <i i="1">
      <x v="1"/>
    </i>
    <i i="2">
      <x v="2"/>
    </i>
    <i i="3">
      <x v="3"/>
    </i>
    <i i="4">
      <x v="4"/>
    </i>
    <i i="5">
      <x v="5"/>
    </i>
  </rowItems>
  <colItems count="1">
    <i/>
  </colItems>
  <pageFields count="1">
    <pageField fld="1" hier="-1"/>
  </pageFields>
  <dataFields count="6">
    <dataField name="Média de DP" fld="15" subtotal="average" baseField="0" baseItem="16"/>
    <dataField name="Média de DPPO" fld="16" subtotal="average" baseField="0" baseItem="16"/>
    <dataField name="Média de DPPNOV" fld="17" subtotal="average" baseField="0" baseItem="16"/>
    <dataField name="Média de DPPNOUO" fld="18" subtotal="average" baseField="0" baseItem="16"/>
    <dataField name="Média de DPI" fld="19" subtotal="average" baseField="0" baseItem="16"/>
    <dataField name="Média de DC" fld="20" subtotal="average" baseField="0" baseItem="16"/>
  </dataFields>
  <chartFormats count="2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unicipio" xr10:uid="{DD311085-A302-44FA-99F7-72FBA63B9DE3}" sourceName="municipio">
  <pivotTables>
    <pivotTable tabId="14" name="Tabela dinâmica6"/>
    <pivotTable tabId="14" name="Tabela dinâmica7"/>
  </pivotTables>
  <data>
    <tabular pivotCacheId="370827700">
      <items count="92">
        <i x="78" s="1"/>
        <i x="80" s="1"/>
        <i x="61" s="1"/>
        <i x="43" s="1"/>
        <i x="87" s="1"/>
        <i x="70" s="1"/>
        <i x="36" s="1"/>
        <i x="41" s="1"/>
        <i x="24" s="1"/>
        <i x="57" s="1"/>
        <i x="74" s="1"/>
        <i x="86" s="1"/>
        <i x="68" s="1"/>
        <i x="81" s="1"/>
        <i x="37" s="1"/>
        <i x="33" s="1"/>
        <i x="3" s="1"/>
        <i x="51" s="1"/>
        <i x="35" s="1"/>
        <i x="72" s="1"/>
        <i x="42" s="1"/>
        <i x="11" s="1"/>
        <i x="79" s="1"/>
        <i x="59" s="1"/>
        <i x="32" s="1"/>
        <i x="64" s="1"/>
        <i x="15" s="1"/>
        <i x="9" s="1"/>
        <i x="12" s="1"/>
        <i x="69" s="1"/>
        <i x="16" s="1"/>
        <i x="19" s="1"/>
        <i x="27" s="1"/>
        <i x="66" s="1"/>
        <i x="5" s="1"/>
        <i x="1" s="1"/>
        <i x="48" s="1"/>
        <i x="84" s="1"/>
        <i x="62" s="1"/>
        <i x="38" s="1"/>
        <i x="76" s="1"/>
        <i x="28" s="1"/>
        <i x="29" s="1"/>
        <i x="8" s="1"/>
        <i x="73" s="1"/>
        <i x="52" s="1"/>
        <i x="40" s="1"/>
        <i x="45" s="1"/>
        <i x="22" s="1"/>
        <i x="65" s="1"/>
        <i x="85" s="1"/>
        <i x="75" s="1"/>
        <i x="50" s="1"/>
        <i x="53" s="1"/>
        <i x="4" s="1"/>
        <i x="23" s="1"/>
        <i x="7" s="1"/>
        <i x="88" s="1"/>
        <i x="83" s="1"/>
        <i x="90" s="1"/>
        <i x="34" s="1"/>
        <i x="54" s="1"/>
        <i x="58" s="1"/>
        <i x="63" s="1"/>
        <i x="20" s="1"/>
        <i x="91" s="1"/>
        <i x="47" s="1"/>
        <i x="18" s="1"/>
        <i x="77" s="1"/>
        <i x="44" s="1"/>
        <i x="82" s="1"/>
        <i x="67" s="1"/>
        <i x="49" s="1"/>
        <i x="6" s="1"/>
        <i x="13" s="1"/>
        <i x="2" s="1"/>
        <i x="71" s="1"/>
        <i x="39" s="1"/>
        <i x="0" s="1"/>
        <i x="60" s="1"/>
        <i x="56" s="1"/>
        <i x="17" s="1"/>
        <i x="10" s="1"/>
        <i x="30" s="1"/>
        <i x="31" s="1"/>
        <i x="21" s="1"/>
        <i x="89" s="1"/>
        <i x="14" s="1"/>
        <i x="55" s="1"/>
        <i x="25" s="1"/>
        <i x="26" s="1"/>
        <i x="46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unicípio" xr10:uid="{462DDC43-EC07-4086-945C-201CFFF0152E}" cache="SegmentaçãodeDados_municipio" caption="municipio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unicipio" xr10:uid="{7CDBEA30-C446-42BB-9A0B-984D22849233}" cache="SegmentaçãodeDados_municipio" caption="municipio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32DA73-C3DC-D341-AB16-E131A766C729}" name="Tabela1" displayName="Tabela1" ref="C1:D93" totalsRowShown="0" headerRowDxfId="29" headerRowBorderDxfId="28" tableBorderDxfId="27">
  <autoFilter ref="C1:D93" xr:uid="{CB32DA73-C3DC-D341-AB16-E131A766C729}"/>
  <tableColumns count="2">
    <tableColumn id="1" xr3:uid="{730D2D16-59A4-2F44-A3C4-811A73B1006D}" name="municipio" dataDxfId="26"/>
    <tableColumn id="2" xr3:uid="{AD93F3DA-4E91-D24B-8217-396E79B2236A}" name="p_preta" dataDxfId="2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0A7C050-D27B-49DE-AFE1-041761451127}" name="Tabela2" displayName="Tabela2" ref="A1:U93" totalsRowShown="0" headerRowDxfId="24" dataDxfId="22" headerRowBorderDxfId="23" tableBorderDxfId="21">
  <autoFilter ref="A1:U93" xr:uid="{A0A7C050-D27B-49DE-AFE1-041761451127}"/>
  <tableColumns count="21">
    <tableColumn id="1" xr3:uid="{1B604A23-1B1E-4108-94C9-4E5D49C68960}" name="cod_ibge" dataDxfId="20"/>
    <tableColumn id="2" xr3:uid="{70BF72BA-DD7B-48BD-86B1-A06C863B77CF}" name="municipio" dataDxfId="19"/>
    <tableColumn id="3" xr3:uid="{D12BF88A-5A81-44F7-8811-58211686B1B2}" name="num_FC" dataDxfId="18"/>
    <tableColumn id="4" xr3:uid="{6C944769-7553-483B-A2B4-25DDACD010D7}" name="km2" dataDxfId="17"/>
    <tableColumn id="5" xr3:uid="{760ED8EF-3730-418E-B259-EE0BCA44F1AF}" name="hectare" dataDxfId="16"/>
    <tableColumn id="6" xr3:uid="{EE6392DA-E559-483D-9783-2258CDDBAB11}" name="hab/ha" dataDxfId="15"/>
    <tableColumn id="7" xr3:uid="{64C82D96-D6D6-4F14-8C6C-F536732F7743}" name="p_total" dataDxfId="14"/>
    <tableColumn id="8" xr3:uid="{86657164-4145-487E-B62F-13F692615338}" name="Branca" dataDxfId="13"/>
    <tableColumn id="9" xr3:uid="{6B3020ED-2BD7-4ADE-BCB6-D02429A08DC3}" name="Preta" dataDxfId="12"/>
    <tableColumn id="10" xr3:uid="{72B87E61-EF12-4A7B-ACC1-2C2CD58E14CD}" name="porcentagem_pretos" dataDxfId="11" dataCellStyle="Porcentagem">
      <calculatedColumnFormula>I2/G2</calculatedColumnFormula>
    </tableColumn>
    <tableColumn id="11" xr3:uid="{968EA394-B64C-4E3A-9BB1-ECF85B296AA5}" name="Amarela" dataDxfId="10"/>
    <tableColumn id="12" xr3:uid="{6509B0F6-F96B-40C1-B97F-FBFA3D3F0284}" name="Parda" dataDxfId="9"/>
    <tableColumn id="13" xr3:uid="{B94B9D36-E11D-4837-B572-3FEB4DC9610B}" name="Indígena" dataDxfId="8"/>
    <tableColumn id="14" xr3:uid="{069AD25B-E522-4D43-B36B-23D5A71B5E3F}" name="Sem Declaração" dataDxfId="7"/>
    <tableColumn id="15" xr3:uid="{83326E63-3625-4C04-A95A-D8D680EBE759}" name="d_total" dataDxfId="6"/>
    <tableColumn id="16" xr3:uid="{50043645-7463-4AA5-B6F9-A6E9B838B26B}" name="DP" dataDxfId="5"/>
    <tableColumn id="17" xr3:uid="{45B14872-E16E-4280-A6B6-04517B61D9C5}" name="DPPO" dataDxfId="4"/>
    <tableColumn id="18" xr3:uid="{64DCB19E-52E1-4E8F-879F-D2727BFE74E2}" name="DPPNOV" dataDxfId="3"/>
    <tableColumn id="19" xr3:uid="{A1E3D85C-5E77-4A29-B8B4-E6AF81944CDD}" name="DPPNOUO" dataDxfId="2"/>
    <tableColumn id="20" xr3:uid="{9E637BF1-2946-421E-8F6F-E936C684E71A}" name="DPI" dataDxfId="1"/>
    <tableColumn id="21" xr3:uid="{1A5AFB84-CA38-47B8-8BC6-30BB3E2BBE57}" name="DC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 /><Relationship Id="rId1" Type="http://schemas.openxmlformats.org/officeDocument/2006/relationships/drawing" Target="../drawings/drawing4.xml" 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 /></Relationships>
</file>

<file path=xl/worksheets/_rels/sheet8.xml.rels><?xml version="1.0" encoding="UTF-8" standalone="yes"?>
<Relationships xmlns="http://schemas.openxmlformats.org/package/2006/relationships"><Relationship Id="rId2" Type="http://schemas.microsoft.com/office/2007/relationships/slicer" Target="../slicers/slicer1.xml" /><Relationship Id="rId1" Type="http://schemas.openxmlformats.org/officeDocument/2006/relationships/drawing" Target="../drawings/drawing6.xml" 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 /><Relationship Id="rId2" Type="http://schemas.openxmlformats.org/officeDocument/2006/relationships/pivotTable" Target="../pivotTables/pivotTable2.xml" /><Relationship Id="rId1" Type="http://schemas.openxmlformats.org/officeDocument/2006/relationships/pivotTable" Target="../pivotTables/pivotTable1.xml" /><Relationship Id="rId4" Type="http://schemas.microsoft.com/office/2007/relationships/slicer" Target="../slicers/slicer2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863E9-99FD-7F49-93B2-535DAA2CBE29}">
  <dimension ref="A1:C21"/>
  <sheetViews>
    <sheetView zoomScaleNormal="80" zoomScaleSheetLayoutView="100" workbookViewId="0">
      <selection activeCell="B17" sqref="B17"/>
    </sheetView>
  </sheetViews>
  <sheetFormatPr defaultRowHeight="15" x14ac:dyDescent="0.2"/>
  <cols>
    <col min="1" max="1" width="15.33203125" customWidth="1"/>
    <col min="2" max="2" width="60.53515625" customWidth="1"/>
    <col min="3" max="3" width="54.34765625" customWidth="1"/>
  </cols>
  <sheetData>
    <row r="1" spans="1:3" x14ac:dyDescent="0.2">
      <c r="A1" t="s">
        <v>116</v>
      </c>
      <c r="B1" t="s">
        <v>117</v>
      </c>
      <c r="C1" t="s">
        <v>118</v>
      </c>
    </row>
    <row r="2" spans="1:3" x14ac:dyDescent="0.2">
      <c r="A2" t="s">
        <v>119</v>
      </c>
      <c r="B2" t="s">
        <v>120</v>
      </c>
      <c r="C2" t="s">
        <v>121</v>
      </c>
    </row>
    <row r="3" spans="1:3" x14ac:dyDescent="0.2">
      <c r="A3" t="s">
        <v>122</v>
      </c>
      <c r="B3" t="s">
        <v>123</v>
      </c>
    </row>
    <row r="4" spans="1:3" x14ac:dyDescent="0.2">
      <c r="A4" t="s">
        <v>119</v>
      </c>
      <c r="B4" t="s">
        <v>124</v>
      </c>
      <c r="C4" t="s">
        <v>121</v>
      </c>
    </row>
    <row r="5" spans="1:3" x14ac:dyDescent="0.2">
      <c r="A5" t="s">
        <v>119</v>
      </c>
      <c r="B5" t="s">
        <v>125</v>
      </c>
      <c r="C5" t="s">
        <v>121</v>
      </c>
    </row>
    <row r="6" spans="1:3" x14ac:dyDescent="0.2">
      <c r="A6" t="s">
        <v>119</v>
      </c>
      <c r="B6" t="s">
        <v>126</v>
      </c>
      <c r="C6" t="s">
        <v>121</v>
      </c>
    </row>
    <row r="7" spans="1:3" x14ac:dyDescent="0.2">
      <c r="A7" t="s">
        <v>119</v>
      </c>
      <c r="B7" t="s">
        <v>127</v>
      </c>
      <c r="C7" t="s">
        <v>121</v>
      </c>
    </row>
    <row r="8" spans="1:3" x14ac:dyDescent="0.2">
      <c r="A8" t="s">
        <v>119</v>
      </c>
      <c r="B8" t="s">
        <v>128</v>
      </c>
      <c r="C8" t="s">
        <v>121</v>
      </c>
    </row>
    <row r="9" spans="1:3" x14ac:dyDescent="0.2">
      <c r="A9" t="s">
        <v>119</v>
      </c>
      <c r="B9" t="s">
        <v>129</v>
      </c>
      <c r="C9" t="s">
        <v>121</v>
      </c>
    </row>
    <row r="10" spans="1:3" x14ac:dyDescent="0.2">
      <c r="A10" t="s">
        <v>119</v>
      </c>
      <c r="B10" t="s">
        <v>130</v>
      </c>
      <c r="C10" t="s">
        <v>121</v>
      </c>
    </row>
    <row r="11" spans="1:3" x14ac:dyDescent="0.2">
      <c r="A11" t="s">
        <v>119</v>
      </c>
      <c r="B11" t="s">
        <v>131</v>
      </c>
      <c r="C11" t="s">
        <v>121</v>
      </c>
    </row>
    <row r="12" spans="1:3" x14ac:dyDescent="0.2">
      <c r="A12" t="s">
        <v>119</v>
      </c>
      <c r="B12" t="s">
        <v>132</v>
      </c>
      <c r="C12" t="s">
        <v>121</v>
      </c>
    </row>
    <row r="13" spans="1:3" x14ac:dyDescent="0.2">
      <c r="A13" t="s">
        <v>119</v>
      </c>
      <c r="B13" t="s">
        <v>133</v>
      </c>
      <c r="C13" t="s">
        <v>121</v>
      </c>
    </row>
    <row r="14" spans="1:3" x14ac:dyDescent="0.2">
      <c r="A14" t="s">
        <v>119</v>
      </c>
      <c r="B14" t="s">
        <v>134</v>
      </c>
      <c r="C14" t="s">
        <v>121</v>
      </c>
    </row>
    <row r="15" spans="1:3" x14ac:dyDescent="0.2">
      <c r="A15" t="s">
        <v>119</v>
      </c>
      <c r="B15" t="s">
        <v>135</v>
      </c>
      <c r="C15" t="s">
        <v>121</v>
      </c>
    </row>
    <row r="16" spans="1:3" x14ac:dyDescent="0.2">
      <c r="A16" t="s">
        <v>119</v>
      </c>
      <c r="B16" t="s">
        <v>136</v>
      </c>
      <c r="C16" t="s">
        <v>121</v>
      </c>
    </row>
    <row r="17" spans="1:3" x14ac:dyDescent="0.2">
      <c r="A17" t="s">
        <v>119</v>
      </c>
      <c r="B17" t="s">
        <v>137</v>
      </c>
      <c r="C17" t="s">
        <v>121</v>
      </c>
    </row>
    <row r="18" spans="1:3" x14ac:dyDescent="0.2">
      <c r="A18" t="s">
        <v>119</v>
      </c>
      <c r="B18" t="s">
        <v>138</v>
      </c>
      <c r="C18" t="s">
        <v>121</v>
      </c>
    </row>
    <row r="19" spans="1:3" x14ac:dyDescent="0.2">
      <c r="A19" t="s">
        <v>119</v>
      </c>
      <c r="B19" t="s">
        <v>139</v>
      </c>
      <c r="C19" t="s">
        <v>121</v>
      </c>
    </row>
    <row r="20" spans="1:3" x14ac:dyDescent="0.2">
      <c r="A20" t="s">
        <v>119</v>
      </c>
      <c r="B20" t="s">
        <v>140</v>
      </c>
    </row>
    <row r="21" spans="1:3" x14ac:dyDescent="0.2">
      <c r="A21" t="s">
        <v>119</v>
      </c>
      <c r="B21" t="s">
        <v>141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3"/>
  <sheetViews>
    <sheetView zoomScaleNormal="100" workbookViewId="0">
      <selection activeCell="B93" sqref="B93"/>
    </sheetView>
  </sheetViews>
  <sheetFormatPr defaultRowHeight="15" x14ac:dyDescent="0.2"/>
  <cols>
    <col min="1" max="1" width="16.41015625" style="4" customWidth="1"/>
    <col min="2" max="2" width="34.16796875" customWidth="1"/>
    <col min="3" max="3" width="12.5078125" style="4" customWidth="1"/>
    <col min="4" max="4" width="11.97265625" style="4" customWidth="1"/>
    <col min="5" max="5" width="13.5859375" style="4" customWidth="1"/>
    <col min="6" max="6" width="10.76171875" style="4" customWidth="1"/>
    <col min="7" max="7" width="18.4296875" style="4" customWidth="1"/>
    <col min="8" max="8" width="12.375" style="4" customWidth="1"/>
    <col min="9" max="9" width="11.1640625" style="4" customWidth="1"/>
    <col min="10" max="10" width="13.85546875" style="4" customWidth="1"/>
    <col min="11" max="11" width="16.6796875" style="4" customWidth="1"/>
    <col min="12" max="12" width="13.71875" style="4" customWidth="1"/>
    <col min="13" max="13" width="11.296875" style="4" customWidth="1"/>
    <col min="14" max="14" width="15.6015625" style="4" customWidth="1"/>
    <col min="15" max="15" width="13.5859375" style="4" customWidth="1"/>
    <col min="16" max="16" width="13.98828125" style="4" customWidth="1"/>
    <col min="17" max="17" width="11.703125" style="4" customWidth="1"/>
    <col min="18" max="18" width="12.10546875" style="4" customWidth="1"/>
    <col min="19" max="19" width="11.703125" style="4" customWidth="1"/>
    <col min="20" max="21" width="9.14453125" style="4"/>
  </cols>
  <sheetData>
    <row r="1" spans="1:20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 x14ac:dyDescent="0.2">
      <c r="A2" s="5">
        <v>3550308</v>
      </c>
      <c r="B2" s="1" t="s">
        <v>20</v>
      </c>
      <c r="C2" s="5">
        <v>1359</v>
      </c>
      <c r="D2" s="5">
        <v>63.624000000000002</v>
      </c>
      <c r="E2" s="5">
        <v>6362.4</v>
      </c>
      <c r="F2" s="5">
        <v>271.60000000000002</v>
      </c>
      <c r="G2" s="5">
        <v>1728265</v>
      </c>
      <c r="H2" s="5">
        <v>577027</v>
      </c>
      <c r="I2" s="5">
        <v>247842</v>
      </c>
      <c r="J2" s="5">
        <v>1464</v>
      </c>
      <c r="K2" s="5">
        <v>899623</v>
      </c>
      <c r="L2" s="5">
        <v>2161</v>
      </c>
      <c r="M2" s="5">
        <v>148</v>
      </c>
      <c r="N2" s="5">
        <v>653891</v>
      </c>
      <c r="O2" s="5">
        <v>653859</v>
      </c>
      <c r="P2" s="5">
        <v>587061</v>
      </c>
      <c r="Q2" s="5">
        <v>56709</v>
      </c>
      <c r="R2" s="5">
        <v>6008</v>
      </c>
      <c r="S2" s="5">
        <v>4081</v>
      </c>
      <c r="T2" s="5">
        <v>32</v>
      </c>
    </row>
    <row r="3" spans="1:20" x14ac:dyDescent="0.2">
      <c r="A3" s="7">
        <v>3518800</v>
      </c>
      <c r="B3" s="2" t="s">
        <v>21</v>
      </c>
      <c r="C3" s="7">
        <v>170</v>
      </c>
      <c r="D3" s="7">
        <v>11.244999999999999</v>
      </c>
      <c r="E3" s="7">
        <v>1124.5</v>
      </c>
      <c r="F3" s="7">
        <v>192.1</v>
      </c>
      <c r="G3" s="7">
        <v>215969</v>
      </c>
      <c r="H3" s="7">
        <v>71565</v>
      </c>
      <c r="I3" s="7">
        <v>27286</v>
      </c>
      <c r="J3" s="7">
        <v>322</v>
      </c>
      <c r="K3" s="7">
        <v>116522</v>
      </c>
      <c r="L3" s="7">
        <v>265</v>
      </c>
      <c r="M3" s="7">
        <v>9</v>
      </c>
      <c r="N3" s="7">
        <v>76471</v>
      </c>
      <c r="O3" s="7">
        <v>76467</v>
      </c>
      <c r="P3" s="7">
        <v>69853</v>
      </c>
      <c r="Q3" s="7">
        <v>5514</v>
      </c>
      <c r="R3" s="7">
        <v>924</v>
      </c>
      <c r="S3" s="7">
        <v>176</v>
      </c>
      <c r="T3" s="7">
        <v>4</v>
      </c>
    </row>
    <row r="4" spans="1:20" x14ac:dyDescent="0.2">
      <c r="A4" s="5">
        <v>3548708</v>
      </c>
      <c r="B4" s="1" t="s">
        <v>22</v>
      </c>
      <c r="C4" s="5">
        <v>94</v>
      </c>
      <c r="D4" s="5">
        <v>5.2930000000000001</v>
      </c>
      <c r="E4" s="5">
        <v>529.29999999999995</v>
      </c>
      <c r="F4" s="5">
        <v>299</v>
      </c>
      <c r="G4" s="5">
        <v>158274</v>
      </c>
      <c r="H4" s="5">
        <v>61810</v>
      </c>
      <c r="I4" s="5">
        <v>17151</v>
      </c>
      <c r="J4" s="5">
        <v>159</v>
      </c>
      <c r="K4" s="5">
        <v>78933</v>
      </c>
      <c r="L4" s="5">
        <v>219</v>
      </c>
      <c r="M4" s="5">
        <v>2</v>
      </c>
      <c r="N4" s="5">
        <v>59234</v>
      </c>
      <c r="O4" s="5">
        <v>59231</v>
      </c>
      <c r="P4" s="5">
        <v>55240</v>
      </c>
      <c r="Q4" s="5">
        <v>3604</v>
      </c>
      <c r="R4" s="5">
        <v>366</v>
      </c>
      <c r="S4" s="5">
        <v>21</v>
      </c>
      <c r="T4" s="5">
        <v>3</v>
      </c>
    </row>
    <row r="5" spans="1:20" x14ac:dyDescent="0.2">
      <c r="A5" s="7">
        <v>3509502</v>
      </c>
      <c r="B5" s="2" t="s">
        <v>23</v>
      </c>
      <c r="C5" s="7">
        <v>118</v>
      </c>
      <c r="D5" s="7">
        <v>14.019</v>
      </c>
      <c r="E5" s="7">
        <v>1401.9</v>
      </c>
      <c r="F5" s="7">
        <v>100.4</v>
      </c>
      <c r="G5" s="7">
        <v>140784</v>
      </c>
      <c r="H5" s="7">
        <v>46576</v>
      </c>
      <c r="I5" s="7">
        <v>18788</v>
      </c>
      <c r="J5" s="7">
        <v>132</v>
      </c>
      <c r="K5" s="7">
        <v>75059</v>
      </c>
      <c r="L5" s="7">
        <v>229</v>
      </c>
      <c r="M5" s="7"/>
      <c r="N5" s="7">
        <v>49646</v>
      </c>
      <c r="O5" s="7">
        <v>49635</v>
      </c>
      <c r="P5" s="7">
        <v>45629</v>
      </c>
      <c r="Q5" s="7">
        <v>3205</v>
      </c>
      <c r="R5" s="7">
        <v>694</v>
      </c>
      <c r="S5" s="7">
        <v>107</v>
      </c>
      <c r="T5" s="7">
        <v>11</v>
      </c>
    </row>
    <row r="6" spans="1:20" x14ac:dyDescent="0.2">
      <c r="A6" s="5">
        <v>3529401</v>
      </c>
      <c r="B6" s="1" t="s">
        <v>24</v>
      </c>
      <c r="C6" s="5">
        <v>60</v>
      </c>
      <c r="D6" s="5">
        <v>5.8680000000000003</v>
      </c>
      <c r="E6" s="5">
        <v>586.79999999999995</v>
      </c>
      <c r="F6" s="5">
        <v>196.4</v>
      </c>
      <c r="G6" s="5">
        <v>115251</v>
      </c>
      <c r="H6" s="5">
        <v>43495</v>
      </c>
      <c r="I6" s="5">
        <v>13103</v>
      </c>
      <c r="J6" s="5">
        <v>95</v>
      </c>
      <c r="K6" s="5">
        <v>58441</v>
      </c>
      <c r="L6" s="5">
        <v>116</v>
      </c>
      <c r="M6" s="5">
        <v>1</v>
      </c>
      <c r="N6" s="5">
        <v>44161</v>
      </c>
      <c r="O6" s="5">
        <v>44160</v>
      </c>
      <c r="P6" s="5">
        <v>40127</v>
      </c>
      <c r="Q6" s="5">
        <v>3749</v>
      </c>
      <c r="R6" s="5">
        <v>226</v>
      </c>
      <c r="S6" s="5">
        <v>58</v>
      </c>
      <c r="T6" s="5">
        <v>1</v>
      </c>
    </row>
    <row r="7" spans="1:20" x14ac:dyDescent="0.2">
      <c r="A7" s="7">
        <v>3518701</v>
      </c>
      <c r="B7" s="2" t="s">
        <v>25</v>
      </c>
      <c r="C7" s="7">
        <v>55</v>
      </c>
      <c r="D7" s="7">
        <v>6.14</v>
      </c>
      <c r="E7" s="7">
        <v>614</v>
      </c>
      <c r="F7" s="7">
        <v>172.7</v>
      </c>
      <c r="G7" s="7">
        <v>106010</v>
      </c>
      <c r="H7" s="7">
        <v>33936</v>
      </c>
      <c r="I7" s="7">
        <v>12036</v>
      </c>
      <c r="J7" s="7">
        <v>130</v>
      </c>
      <c r="K7" s="7">
        <v>59709</v>
      </c>
      <c r="L7" s="7">
        <v>194</v>
      </c>
      <c r="M7" s="7">
        <v>5</v>
      </c>
      <c r="N7" s="7">
        <v>39413</v>
      </c>
      <c r="O7" s="7">
        <v>39403</v>
      </c>
      <c r="P7" s="7">
        <v>34443</v>
      </c>
      <c r="Q7" s="7">
        <v>3508</v>
      </c>
      <c r="R7" s="7">
        <v>1349</v>
      </c>
      <c r="S7" s="7">
        <v>103</v>
      </c>
      <c r="T7" s="7">
        <v>10</v>
      </c>
    </row>
    <row r="8" spans="1:20" x14ac:dyDescent="0.2">
      <c r="A8" s="5">
        <v>3547809</v>
      </c>
      <c r="B8" s="1" t="s">
        <v>26</v>
      </c>
      <c r="C8" s="5">
        <v>76</v>
      </c>
      <c r="D8" s="5">
        <v>3.403</v>
      </c>
      <c r="E8" s="5">
        <v>340.3</v>
      </c>
      <c r="F8" s="5">
        <v>291.5</v>
      </c>
      <c r="G8" s="5">
        <v>99187</v>
      </c>
      <c r="H8" s="5">
        <v>37421</v>
      </c>
      <c r="I8" s="5">
        <v>11904</v>
      </c>
      <c r="J8" s="5">
        <v>66</v>
      </c>
      <c r="K8" s="5">
        <v>49678</v>
      </c>
      <c r="L8" s="5">
        <v>104</v>
      </c>
      <c r="M8" s="5">
        <v>14</v>
      </c>
      <c r="N8" s="5">
        <v>37433</v>
      </c>
      <c r="O8" s="5">
        <v>37431</v>
      </c>
      <c r="P8" s="5">
        <v>33905</v>
      </c>
      <c r="Q8" s="5">
        <v>3000</v>
      </c>
      <c r="R8" s="5">
        <v>479</v>
      </c>
      <c r="S8" s="5">
        <v>47</v>
      </c>
      <c r="T8" s="5">
        <v>2</v>
      </c>
    </row>
    <row r="9" spans="1:20" x14ac:dyDescent="0.2">
      <c r="A9" s="7">
        <v>3534401</v>
      </c>
      <c r="B9" s="2" t="s">
        <v>27</v>
      </c>
      <c r="C9" s="7">
        <v>84</v>
      </c>
      <c r="D9" s="7">
        <v>2.919</v>
      </c>
      <c r="E9" s="7">
        <v>291.89999999999998</v>
      </c>
      <c r="F9" s="7">
        <v>336.4</v>
      </c>
      <c r="G9" s="7">
        <v>98207</v>
      </c>
      <c r="H9" s="7">
        <v>33794</v>
      </c>
      <c r="I9" s="7">
        <v>11901</v>
      </c>
      <c r="J9" s="7">
        <v>61</v>
      </c>
      <c r="K9" s="7">
        <v>52351</v>
      </c>
      <c r="L9" s="7">
        <v>90</v>
      </c>
      <c r="M9" s="7">
        <v>10</v>
      </c>
      <c r="N9" s="7">
        <v>33927</v>
      </c>
      <c r="O9" s="7">
        <v>33923</v>
      </c>
      <c r="P9" s="7">
        <v>31491</v>
      </c>
      <c r="Q9" s="7">
        <v>1623</v>
      </c>
      <c r="R9" s="7">
        <v>241</v>
      </c>
      <c r="S9" s="7">
        <v>568</v>
      </c>
      <c r="T9" s="7">
        <v>4</v>
      </c>
    </row>
    <row r="10" spans="1:20" x14ac:dyDescent="0.2">
      <c r="A10" s="5">
        <v>3523107</v>
      </c>
      <c r="B10" s="1" t="s">
        <v>28</v>
      </c>
      <c r="C10" s="5">
        <v>69</v>
      </c>
      <c r="D10" s="5">
        <v>7.0940000000000003</v>
      </c>
      <c r="E10" s="5">
        <v>709.4</v>
      </c>
      <c r="F10" s="5">
        <v>128.69999999999999</v>
      </c>
      <c r="G10" s="5">
        <v>91317</v>
      </c>
      <c r="H10" s="5">
        <v>31211</v>
      </c>
      <c r="I10" s="5">
        <v>10239</v>
      </c>
      <c r="J10" s="5">
        <v>115</v>
      </c>
      <c r="K10" s="5">
        <v>49587</v>
      </c>
      <c r="L10" s="5">
        <v>165</v>
      </c>
      <c r="M10" s="5"/>
      <c r="N10" s="5">
        <v>32846</v>
      </c>
      <c r="O10" s="5">
        <v>32845</v>
      </c>
      <c r="P10" s="5">
        <v>29208</v>
      </c>
      <c r="Q10" s="5">
        <v>3152</v>
      </c>
      <c r="R10" s="5">
        <v>464</v>
      </c>
      <c r="S10" s="5">
        <v>21</v>
      </c>
      <c r="T10" s="5">
        <v>1</v>
      </c>
    </row>
    <row r="11" spans="1:20" x14ac:dyDescent="0.2">
      <c r="A11" s="7">
        <v>3513801</v>
      </c>
      <c r="B11" s="2" t="s">
        <v>29</v>
      </c>
      <c r="C11" s="7">
        <v>109</v>
      </c>
      <c r="D11" s="7">
        <v>2.1760000000000002</v>
      </c>
      <c r="E11" s="7">
        <v>217.6</v>
      </c>
      <c r="F11" s="7">
        <v>403.9</v>
      </c>
      <c r="G11" s="7">
        <v>87887</v>
      </c>
      <c r="H11" s="7">
        <v>33814</v>
      </c>
      <c r="I11" s="7">
        <v>9612</v>
      </c>
      <c r="J11" s="7">
        <v>85</v>
      </c>
      <c r="K11" s="7">
        <v>44331</v>
      </c>
      <c r="L11" s="7">
        <v>43</v>
      </c>
      <c r="M11" s="7">
        <v>2</v>
      </c>
      <c r="N11" s="7">
        <v>33125</v>
      </c>
      <c r="O11" s="7">
        <v>33124</v>
      </c>
      <c r="P11" s="7">
        <v>30912</v>
      </c>
      <c r="Q11" s="7">
        <v>2051</v>
      </c>
      <c r="R11" s="7">
        <v>154</v>
      </c>
      <c r="S11" s="7">
        <v>7</v>
      </c>
      <c r="T11" s="7">
        <v>1</v>
      </c>
    </row>
    <row r="12" spans="1:20" x14ac:dyDescent="0.2">
      <c r="A12" s="5">
        <v>3551009</v>
      </c>
      <c r="B12" s="1" t="s">
        <v>30</v>
      </c>
      <c r="C12" s="5">
        <v>38</v>
      </c>
      <c r="D12" s="5">
        <v>6.5789999999999997</v>
      </c>
      <c r="E12" s="5">
        <v>657.9</v>
      </c>
      <c r="F12" s="5">
        <v>130.19999999999999</v>
      </c>
      <c r="G12" s="5">
        <v>85652</v>
      </c>
      <c r="H12" s="5">
        <v>28535</v>
      </c>
      <c r="I12" s="5">
        <v>11987</v>
      </c>
      <c r="J12" s="5">
        <v>70</v>
      </c>
      <c r="K12" s="5">
        <v>44966</v>
      </c>
      <c r="L12" s="5">
        <v>91</v>
      </c>
      <c r="M12" s="5">
        <v>3</v>
      </c>
      <c r="N12" s="5">
        <v>32562</v>
      </c>
      <c r="O12" s="5">
        <v>32558</v>
      </c>
      <c r="P12" s="5">
        <v>28888</v>
      </c>
      <c r="Q12" s="5">
        <v>3408</v>
      </c>
      <c r="R12" s="5">
        <v>162</v>
      </c>
      <c r="S12" s="5">
        <v>100</v>
      </c>
      <c r="T12" s="5">
        <v>4</v>
      </c>
    </row>
    <row r="13" spans="1:20" x14ac:dyDescent="0.2">
      <c r="A13" s="7">
        <v>3510609</v>
      </c>
      <c r="B13" s="2" t="s">
        <v>31</v>
      </c>
      <c r="C13" s="7">
        <v>66</v>
      </c>
      <c r="D13" s="7">
        <v>2.0219999999999998</v>
      </c>
      <c r="E13" s="7">
        <v>202.2</v>
      </c>
      <c r="F13" s="7">
        <v>299.5</v>
      </c>
      <c r="G13" s="7">
        <v>60562</v>
      </c>
      <c r="H13" s="7">
        <v>21069</v>
      </c>
      <c r="I13" s="7">
        <v>7881</v>
      </c>
      <c r="J13" s="7">
        <v>47</v>
      </c>
      <c r="K13" s="7">
        <v>31494</v>
      </c>
      <c r="L13" s="7">
        <v>61</v>
      </c>
      <c r="M13" s="7">
        <v>10</v>
      </c>
      <c r="N13" s="7">
        <v>21692</v>
      </c>
      <c r="O13" s="7">
        <v>21692</v>
      </c>
      <c r="P13" s="7">
        <v>20409</v>
      </c>
      <c r="Q13" s="7">
        <v>1165</v>
      </c>
      <c r="R13" s="7">
        <v>103</v>
      </c>
      <c r="S13" s="7">
        <v>15</v>
      </c>
      <c r="T13" s="7"/>
    </row>
    <row r="14" spans="1:20" x14ac:dyDescent="0.2">
      <c r="A14" s="5">
        <v>3515004</v>
      </c>
      <c r="B14" s="1" t="s">
        <v>32</v>
      </c>
      <c r="C14" s="5">
        <v>59</v>
      </c>
      <c r="D14" s="5">
        <v>4.5810000000000004</v>
      </c>
      <c r="E14" s="5">
        <v>458.1</v>
      </c>
      <c r="F14" s="5">
        <v>116.3</v>
      </c>
      <c r="G14" s="5">
        <v>53297</v>
      </c>
      <c r="H14" s="5">
        <v>16373</v>
      </c>
      <c r="I14" s="5">
        <v>8063</v>
      </c>
      <c r="J14" s="5">
        <v>49</v>
      </c>
      <c r="K14" s="5">
        <v>28755</v>
      </c>
      <c r="L14" s="5">
        <v>50</v>
      </c>
      <c r="M14" s="5">
        <v>7</v>
      </c>
      <c r="N14" s="5">
        <v>21312</v>
      </c>
      <c r="O14" s="5">
        <v>21312</v>
      </c>
      <c r="P14" s="5">
        <v>18218</v>
      </c>
      <c r="Q14" s="5">
        <v>2105</v>
      </c>
      <c r="R14" s="5">
        <v>923</v>
      </c>
      <c r="S14" s="5">
        <v>66</v>
      </c>
      <c r="T14" s="5"/>
    </row>
    <row r="15" spans="1:20" x14ac:dyDescent="0.2">
      <c r="A15" s="7">
        <v>3548500</v>
      </c>
      <c r="B15" s="2" t="s">
        <v>33</v>
      </c>
      <c r="C15" s="7">
        <v>46</v>
      </c>
      <c r="D15" s="7">
        <v>5.1289999999999996</v>
      </c>
      <c r="E15" s="7">
        <v>512.9</v>
      </c>
      <c r="F15" s="7">
        <v>90.2</v>
      </c>
      <c r="G15" s="7">
        <v>46262</v>
      </c>
      <c r="H15" s="7">
        <v>18279</v>
      </c>
      <c r="I15" s="7">
        <v>5887</v>
      </c>
      <c r="J15" s="7">
        <v>64</v>
      </c>
      <c r="K15" s="7">
        <v>21990</v>
      </c>
      <c r="L15" s="7">
        <v>41</v>
      </c>
      <c r="M15" s="7">
        <v>1</v>
      </c>
      <c r="N15" s="7">
        <v>19257</v>
      </c>
      <c r="O15" s="7">
        <v>19249</v>
      </c>
      <c r="P15" s="7">
        <v>16841</v>
      </c>
      <c r="Q15" s="7">
        <v>2006</v>
      </c>
      <c r="R15" s="7">
        <v>396</v>
      </c>
      <c r="S15" s="7">
        <v>6</v>
      </c>
      <c r="T15" s="7">
        <v>8</v>
      </c>
    </row>
    <row r="16" spans="1:20" x14ac:dyDescent="0.2">
      <c r="A16" s="5">
        <v>3552809</v>
      </c>
      <c r="B16" s="1" t="s">
        <v>34</v>
      </c>
      <c r="C16" s="5">
        <v>29</v>
      </c>
      <c r="D16" s="5">
        <v>1.38</v>
      </c>
      <c r="E16" s="5">
        <v>138</v>
      </c>
      <c r="F16" s="5">
        <v>304.60000000000002</v>
      </c>
      <c r="G16" s="5">
        <v>42031</v>
      </c>
      <c r="H16" s="5">
        <v>14457</v>
      </c>
      <c r="I16" s="5">
        <v>5980</v>
      </c>
      <c r="J16" s="5">
        <v>62</v>
      </c>
      <c r="K16" s="5">
        <v>21487</v>
      </c>
      <c r="L16" s="5">
        <v>45</v>
      </c>
      <c r="M16" s="5"/>
      <c r="N16" s="5">
        <v>16009</v>
      </c>
      <c r="O16" s="5">
        <v>16009</v>
      </c>
      <c r="P16" s="5">
        <v>14586</v>
      </c>
      <c r="Q16" s="5">
        <v>1264</v>
      </c>
      <c r="R16" s="5">
        <v>152</v>
      </c>
      <c r="S16" s="5">
        <v>7</v>
      </c>
      <c r="T16" s="5"/>
    </row>
    <row r="17" spans="1:20" x14ac:dyDescent="0.2">
      <c r="A17" s="7">
        <v>3513504</v>
      </c>
      <c r="B17" s="2" t="s">
        <v>35</v>
      </c>
      <c r="C17" s="7">
        <v>12</v>
      </c>
      <c r="D17" s="7">
        <v>3.0739999999999998</v>
      </c>
      <c r="E17" s="7">
        <v>307.39999999999998</v>
      </c>
      <c r="F17" s="7">
        <v>119.5</v>
      </c>
      <c r="G17" s="7">
        <v>36724</v>
      </c>
      <c r="H17" s="7">
        <v>11592</v>
      </c>
      <c r="I17" s="7">
        <v>4587</v>
      </c>
      <c r="J17" s="7">
        <v>8</v>
      </c>
      <c r="K17" s="7">
        <v>20503</v>
      </c>
      <c r="L17" s="7">
        <v>34</v>
      </c>
      <c r="M17" s="7"/>
      <c r="N17" s="7">
        <v>15221</v>
      </c>
      <c r="O17" s="7">
        <v>15218</v>
      </c>
      <c r="P17" s="7">
        <v>12921</v>
      </c>
      <c r="Q17" s="7">
        <v>2020</v>
      </c>
      <c r="R17" s="7">
        <v>274</v>
      </c>
      <c r="S17" s="7">
        <v>3</v>
      </c>
      <c r="T17" s="7">
        <v>3</v>
      </c>
    </row>
    <row r="18" spans="1:20" x14ac:dyDescent="0.2">
      <c r="A18" s="5">
        <v>3515707</v>
      </c>
      <c r="B18" s="1" t="s">
        <v>36</v>
      </c>
      <c r="C18" s="5">
        <v>38</v>
      </c>
      <c r="D18" s="5">
        <v>2.4209999999999998</v>
      </c>
      <c r="E18" s="5">
        <v>242.1</v>
      </c>
      <c r="F18" s="5">
        <v>126.5</v>
      </c>
      <c r="G18" s="5">
        <v>30629</v>
      </c>
      <c r="H18" s="5">
        <v>10510</v>
      </c>
      <c r="I18" s="5">
        <v>4141</v>
      </c>
      <c r="J18" s="5">
        <v>18</v>
      </c>
      <c r="K18" s="5">
        <v>15914</v>
      </c>
      <c r="L18" s="5">
        <v>45</v>
      </c>
      <c r="M18" s="5">
        <v>1</v>
      </c>
      <c r="N18" s="5">
        <v>11265</v>
      </c>
      <c r="O18" s="5">
        <v>11263</v>
      </c>
      <c r="P18" s="5">
        <v>9872</v>
      </c>
      <c r="Q18" s="5">
        <v>1137</v>
      </c>
      <c r="R18" s="5">
        <v>142</v>
      </c>
      <c r="S18" s="5">
        <v>112</v>
      </c>
      <c r="T18" s="5">
        <v>2</v>
      </c>
    </row>
    <row r="19" spans="1:20" x14ac:dyDescent="0.2">
      <c r="A19" s="7">
        <v>3550704</v>
      </c>
      <c r="B19" s="2" t="s">
        <v>37</v>
      </c>
      <c r="C19" s="7">
        <v>23</v>
      </c>
      <c r="D19" s="7">
        <v>3.8570000000000002</v>
      </c>
      <c r="E19" s="7">
        <v>385.7</v>
      </c>
      <c r="F19" s="7">
        <v>63.8</v>
      </c>
      <c r="G19" s="7">
        <v>24619</v>
      </c>
      <c r="H19" s="7">
        <v>8245</v>
      </c>
      <c r="I19" s="7">
        <v>3030</v>
      </c>
      <c r="J19" s="7">
        <v>36</v>
      </c>
      <c r="K19" s="7">
        <v>13270</v>
      </c>
      <c r="L19" s="7">
        <v>37</v>
      </c>
      <c r="M19" s="7">
        <v>1</v>
      </c>
      <c r="N19" s="7">
        <v>10045</v>
      </c>
      <c r="O19" s="7">
        <v>10041</v>
      </c>
      <c r="P19" s="7">
        <v>8293</v>
      </c>
      <c r="Q19" s="7">
        <v>1005</v>
      </c>
      <c r="R19" s="7">
        <v>734</v>
      </c>
      <c r="S19" s="7">
        <v>9</v>
      </c>
      <c r="T19" s="7">
        <v>4</v>
      </c>
    </row>
    <row r="20" spans="1:20" x14ac:dyDescent="0.2">
      <c r="A20" s="5">
        <v>3543402</v>
      </c>
      <c r="B20" s="1" t="s">
        <v>38</v>
      </c>
      <c r="C20" s="5">
        <v>47</v>
      </c>
      <c r="D20" s="5">
        <v>1.7949999999999999</v>
      </c>
      <c r="E20" s="5">
        <v>179.5</v>
      </c>
      <c r="F20" s="5">
        <v>132.5</v>
      </c>
      <c r="G20" s="5">
        <v>23781</v>
      </c>
      <c r="H20" s="5">
        <v>6735</v>
      </c>
      <c r="I20" s="5">
        <v>3289</v>
      </c>
      <c r="J20" s="5">
        <v>10</v>
      </c>
      <c r="K20" s="5">
        <v>13719</v>
      </c>
      <c r="L20" s="5">
        <v>26</v>
      </c>
      <c r="M20" s="5">
        <v>2</v>
      </c>
      <c r="N20" s="5">
        <v>8806</v>
      </c>
      <c r="O20" s="5">
        <v>8806</v>
      </c>
      <c r="P20" s="5">
        <v>7728</v>
      </c>
      <c r="Q20" s="5">
        <v>782</v>
      </c>
      <c r="R20" s="5">
        <v>115</v>
      </c>
      <c r="S20" s="5">
        <v>181</v>
      </c>
      <c r="T20" s="5"/>
    </row>
    <row r="21" spans="1:20" x14ac:dyDescent="0.2">
      <c r="A21" s="7">
        <v>3516309</v>
      </c>
      <c r="B21" s="2" t="s">
        <v>39</v>
      </c>
      <c r="C21" s="7">
        <v>36</v>
      </c>
      <c r="D21" s="7">
        <v>2.4969999999999999</v>
      </c>
      <c r="E21" s="7">
        <v>249.7</v>
      </c>
      <c r="F21" s="7">
        <v>90.7</v>
      </c>
      <c r="G21" s="7">
        <v>22646</v>
      </c>
      <c r="H21" s="7">
        <v>7521</v>
      </c>
      <c r="I21" s="7">
        <v>3482</v>
      </c>
      <c r="J21" s="7">
        <v>14</v>
      </c>
      <c r="K21" s="7">
        <v>11602</v>
      </c>
      <c r="L21" s="7">
        <v>27</v>
      </c>
      <c r="M21" s="7"/>
      <c r="N21" s="7">
        <v>8363</v>
      </c>
      <c r="O21" s="7">
        <v>8363</v>
      </c>
      <c r="P21" s="7">
        <v>7682</v>
      </c>
      <c r="Q21" s="7">
        <v>630</v>
      </c>
      <c r="R21" s="7">
        <v>50</v>
      </c>
      <c r="S21" s="7">
        <v>1</v>
      </c>
      <c r="T21" s="7"/>
    </row>
    <row r="22" spans="1:20" x14ac:dyDescent="0.2">
      <c r="A22" s="5">
        <v>3541000</v>
      </c>
      <c r="B22" s="1" t="s">
        <v>40</v>
      </c>
      <c r="C22" s="5">
        <v>12</v>
      </c>
      <c r="D22" s="5">
        <v>2.125</v>
      </c>
      <c r="E22" s="5">
        <v>212.5</v>
      </c>
      <c r="F22" s="5">
        <v>100.3</v>
      </c>
      <c r="G22" s="5">
        <v>21315</v>
      </c>
      <c r="H22" s="5">
        <v>7362</v>
      </c>
      <c r="I22" s="5">
        <v>2629</v>
      </c>
      <c r="J22" s="5">
        <v>23</v>
      </c>
      <c r="K22" s="5">
        <v>11290</v>
      </c>
      <c r="L22" s="5">
        <v>10</v>
      </c>
      <c r="M22" s="5">
        <v>1</v>
      </c>
      <c r="N22" s="5">
        <v>8214</v>
      </c>
      <c r="O22" s="5">
        <v>8212</v>
      </c>
      <c r="P22" s="5">
        <v>6962</v>
      </c>
      <c r="Q22" s="5">
        <v>1074</v>
      </c>
      <c r="R22" s="5">
        <v>157</v>
      </c>
      <c r="S22" s="5">
        <v>19</v>
      </c>
      <c r="T22" s="5">
        <v>2</v>
      </c>
    </row>
    <row r="23" spans="1:20" x14ac:dyDescent="0.2">
      <c r="A23" s="7">
        <v>3552502</v>
      </c>
      <c r="B23" s="2" t="s">
        <v>41</v>
      </c>
      <c r="C23" s="7">
        <v>21</v>
      </c>
      <c r="D23" s="7">
        <v>1.85</v>
      </c>
      <c r="E23" s="7">
        <v>185</v>
      </c>
      <c r="F23" s="7">
        <v>114.2</v>
      </c>
      <c r="G23" s="7">
        <v>21126</v>
      </c>
      <c r="H23" s="7">
        <v>7131</v>
      </c>
      <c r="I23" s="7">
        <v>2600</v>
      </c>
      <c r="J23" s="7">
        <v>41</v>
      </c>
      <c r="K23" s="7">
        <v>11322</v>
      </c>
      <c r="L23" s="7">
        <v>31</v>
      </c>
      <c r="M23" s="7">
        <v>1</v>
      </c>
      <c r="N23" s="7">
        <v>7586</v>
      </c>
      <c r="O23" s="7">
        <v>7584</v>
      </c>
      <c r="P23" s="7">
        <v>6754</v>
      </c>
      <c r="Q23" s="7">
        <v>696</v>
      </c>
      <c r="R23" s="7">
        <v>122</v>
      </c>
      <c r="S23" s="7">
        <v>12</v>
      </c>
      <c r="T23" s="7">
        <v>2</v>
      </c>
    </row>
    <row r="24" spans="1:20" x14ac:dyDescent="0.2">
      <c r="A24" s="5">
        <v>3525904</v>
      </c>
      <c r="B24" s="1" t="s">
        <v>42</v>
      </c>
      <c r="C24" s="5">
        <v>9</v>
      </c>
      <c r="D24" s="5">
        <v>0.86699999999999999</v>
      </c>
      <c r="E24" s="5">
        <v>86.7</v>
      </c>
      <c r="F24" s="5">
        <v>207.6</v>
      </c>
      <c r="G24" s="5">
        <v>17999</v>
      </c>
      <c r="H24" s="5">
        <v>7374</v>
      </c>
      <c r="I24" s="5">
        <v>1687</v>
      </c>
      <c r="J24" s="5">
        <v>37</v>
      </c>
      <c r="K24" s="5">
        <v>8878</v>
      </c>
      <c r="L24" s="5">
        <v>23</v>
      </c>
      <c r="M24" s="5"/>
      <c r="N24" s="5">
        <v>6025</v>
      </c>
      <c r="O24" s="5">
        <v>6025</v>
      </c>
      <c r="P24" s="5">
        <v>5802</v>
      </c>
      <c r="Q24" s="5">
        <v>194</v>
      </c>
      <c r="R24" s="5">
        <v>24</v>
      </c>
      <c r="S24" s="5">
        <v>5</v>
      </c>
      <c r="T24" s="5"/>
    </row>
    <row r="25" spans="1:20" x14ac:dyDescent="0.2">
      <c r="A25" s="7">
        <v>3530607</v>
      </c>
      <c r="B25" s="2" t="s">
        <v>43</v>
      </c>
      <c r="C25" s="7">
        <v>16</v>
      </c>
      <c r="D25" s="7">
        <v>1.9490000000000001</v>
      </c>
      <c r="E25" s="7">
        <v>194.9</v>
      </c>
      <c r="F25" s="7">
        <v>90.5</v>
      </c>
      <c r="G25" s="7">
        <v>17634</v>
      </c>
      <c r="H25" s="7">
        <v>5980</v>
      </c>
      <c r="I25" s="7">
        <v>2469</v>
      </c>
      <c r="J25" s="7">
        <v>45</v>
      </c>
      <c r="K25" s="7">
        <v>9105</v>
      </c>
      <c r="L25" s="7">
        <v>35</v>
      </c>
      <c r="M25" s="7"/>
      <c r="N25" s="7">
        <v>6299</v>
      </c>
      <c r="O25" s="7">
        <v>6299</v>
      </c>
      <c r="P25" s="7">
        <v>5662</v>
      </c>
      <c r="Q25" s="7">
        <v>534</v>
      </c>
      <c r="R25" s="7">
        <v>97</v>
      </c>
      <c r="S25" s="7">
        <v>6</v>
      </c>
      <c r="T25" s="7"/>
    </row>
    <row r="26" spans="1:20" x14ac:dyDescent="0.2">
      <c r="A26" s="5">
        <v>3506359</v>
      </c>
      <c r="B26" s="1" t="s">
        <v>44</v>
      </c>
      <c r="C26" s="5">
        <v>24</v>
      </c>
      <c r="D26" s="5">
        <v>4.0140000000000002</v>
      </c>
      <c r="E26" s="5">
        <v>401.4</v>
      </c>
      <c r="F26" s="5">
        <v>40.9</v>
      </c>
      <c r="G26" s="5">
        <v>16400</v>
      </c>
      <c r="H26" s="5">
        <v>4992</v>
      </c>
      <c r="I26" s="5">
        <v>1997</v>
      </c>
      <c r="J26" s="5">
        <v>41</v>
      </c>
      <c r="K26" s="5">
        <v>9296</v>
      </c>
      <c r="L26" s="5">
        <v>74</v>
      </c>
      <c r="M26" s="5"/>
      <c r="N26" s="5">
        <v>6995</v>
      </c>
      <c r="O26" s="5">
        <v>6991</v>
      </c>
      <c r="P26" s="5">
        <v>5583</v>
      </c>
      <c r="Q26" s="5">
        <v>550</v>
      </c>
      <c r="R26" s="5">
        <v>814</v>
      </c>
      <c r="S26" s="5">
        <v>44</v>
      </c>
      <c r="T26" s="5">
        <v>4</v>
      </c>
    </row>
    <row r="27" spans="1:20" x14ac:dyDescent="0.2">
      <c r="A27" s="7">
        <v>3555406</v>
      </c>
      <c r="B27" s="2" t="s">
        <v>45</v>
      </c>
      <c r="C27" s="7">
        <v>18</v>
      </c>
      <c r="D27" s="7">
        <v>5.5090000000000003</v>
      </c>
      <c r="E27" s="7">
        <v>550.9</v>
      </c>
      <c r="F27" s="7">
        <v>29.7</v>
      </c>
      <c r="G27" s="7">
        <v>16382</v>
      </c>
      <c r="H27" s="7">
        <v>6355</v>
      </c>
      <c r="I27" s="7">
        <v>1906</v>
      </c>
      <c r="J27" s="7">
        <v>27</v>
      </c>
      <c r="K27" s="7">
        <v>8036</v>
      </c>
      <c r="L27" s="7">
        <v>58</v>
      </c>
      <c r="M27" s="7"/>
      <c r="N27" s="7">
        <v>6878</v>
      </c>
      <c r="O27" s="7">
        <v>6868</v>
      </c>
      <c r="P27" s="7">
        <v>5496</v>
      </c>
      <c r="Q27" s="7">
        <v>740</v>
      </c>
      <c r="R27" s="7">
        <v>614</v>
      </c>
      <c r="S27" s="7">
        <v>18</v>
      </c>
      <c r="T27" s="7">
        <v>10</v>
      </c>
    </row>
    <row r="28" spans="1:20" x14ac:dyDescent="0.2">
      <c r="A28" s="5">
        <v>3556503</v>
      </c>
      <c r="B28" s="1" t="s">
        <v>46</v>
      </c>
      <c r="C28" s="5">
        <v>3</v>
      </c>
      <c r="D28" s="5">
        <v>0.80600000000000005</v>
      </c>
      <c r="E28" s="5">
        <v>80.599999999999994</v>
      </c>
      <c r="F28" s="5">
        <v>191.2</v>
      </c>
      <c r="G28" s="5">
        <v>15411</v>
      </c>
      <c r="H28" s="5">
        <v>5852</v>
      </c>
      <c r="I28" s="5">
        <v>1746</v>
      </c>
      <c r="J28" s="5">
        <v>7</v>
      </c>
      <c r="K28" s="5">
        <v>7803</v>
      </c>
      <c r="L28" s="5">
        <v>3</v>
      </c>
      <c r="M28" s="5"/>
      <c r="N28" s="5">
        <v>5235</v>
      </c>
      <c r="O28" s="5">
        <v>5234</v>
      </c>
      <c r="P28" s="5">
        <v>4968</v>
      </c>
      <c r="Q28" s="5">
        <v>235</v>
      </c>
      <c r="R28" s="5">
        <v>28</v>
      </c>
      <c r="S28" s="5">
        <v>3</v>
      </c>
      <c r="T28" s="5">
        <v>1</v>
      </c>
    </row>
    <row r="29" spans="1:20" x14ac:dyDescent="0.2">
      <c r="A29" s="7">
        <v>3516408</v>
      </c>
      <c r="B29" s="2" t="s">
        <v>47</v>
      </c>
      <c r="C29" s="7">
        <v>25</v>
      </c>
      <c r="D29" s="7">
        <v>1.8</v>
      </c>
      <c r="E29" s="7">
        <v>180</v>
      </c>
      <c r="F29" s="7">
        <v>81.8</v>
      </c>
      <c r="G29" s="7">
        <v>14726</v>
      </c>
      <c r="H29" s="7">
        <v>4852</v>
      </c>
      <c r="I29" s="7">
        <v>2106</v>
      </c>
      <c r="J29" s="7">
        <v>15</v>
      </c>
      <c r="K29" s="7">
        <v>7739</v>
      </c>
      <c r="L29" s="7">
        <v>14</v>
      </c>
      <c r="M29" s="7"/>
      <c r="N29" s="7">
        <v>5492</v>
      </c>
      <c r="O29" s="7">
        <v>5492</v>
      </c>
      <c r="P29" s="7">
        <v>4874</v>
      </c>
      <c r="Q29" s="7">
        <v>436</v>
      </c>
      <c r="R29" s="7">
        <v>176</v>
      </c>
      <c r="S29" s="7">
        <v>6</v>
      </c>
      <c r="T29" s="7"/>
    </row>
    <row r="30" spans="1:20" x14ac:dyDescent="0.2">
      <c r="A30" s="5">
        <v>3522208</v>
      </c>
      <c r="B30" s="1" t="s">
        <v>48</v>
      </c>
      <c r="C30" s="5">
        <v>20</v>
      </c>
      <c r="D30" s="5">
        <v>1.3080000000000001</v>
      </c>
      <c r="E30" s="5">
        <v>130.80000000000001</v>
      </c>
      <c r="F30" s="5">
        <v>108.1</v>
      </c>
      <c r="G30" s="5">
        <v>14140</v>
      </c>
      <c r="H30" s="5">
        <v>4786</v>
      </c>
      <c r="I30" s="5">
        <v>2266</v>
      </c>
      <c r="J30" s="5">
        <v>19</v>
      </c>
      <c r="K30" s="5">
        <v>7042</v>
      </c>
      <c r="L30" s="5">
        <v>26</v>
      </c>
      <c r="M30" s="5">
        <v>1</v>
      </c>
      <c r="N30" s="5">
        <v>5909</v>
      </c>
      <c r="O30" s="5">
        <v>5909</v>
      </c>
      <c r="P30" s="5">
        <v>4911</v>
      </c>
      <c r="Q30" s="5">
        <v>629</v>
      </c>
      <c r="R30" s="5">
        <v>359</v>
      </c>
      <c r="S30" s="5">
        <v>10</v>
      </c>
      <c r="T30" s="5"/>
    </row>
    <row r="31" spans="1:20" x14ac:dyDescent="0.2">
      <c r="A31" s="7">
        <v>3522505</v>
      </c>
      <c r="B31" s="2" t="s">
        <v>49</v>
      </c>
      <c r="C31" s="7">
        <v>20</v>
      </c>
      <c r="D31" s="7">
        <v>0.65600000000000003</v>
      </c>
      <c r="E31" s="7">
        <v>65.599999999999994</v>
      </c>
      <c r="F31" s="7">
        <v>212.1</v>
      </c>
      <c r="G31" s="7">
        <v>13911</v>
      </c>
      <c r="H31" s="7">
        <v>3530</v>
      </c>
      <c r="I31" s="7">
        <v>1448</v>
      </c>
      <c r="J31" s="7">
        <v>17</v>
      </c>
      <c r="K31" s="7">
        <v>8909</v>
      </c>
      <c r="L31" s="7">
        <v>7</v>
      </c>
      <c r="M31" s="7"/>
      <c r="N31" s="7">
        <v>5059</v>
      </c>
      <c r="O31" s="7">
        <v>5059</v>
      </c>
      <c r="P31" s="7">
        <v>4898</v>
      </c>
      <c r="Q31" s="7">
        <v>130</v>
      </c>
      <c r="R31" s="7">
        <v>12</v>
      </c>
      <c r="S31" s="7">
        <v>19</v>
      </c>
      <c r="T31" s="7"/>
    </row>
    <row r="32" spans="1:20" x14ac:dyDescent="0.2">
      <c r="A32" s="5">
        <v>3552205</v>
      </c>
      <c r="B32" s="1" t="s">
        <v>50</v>
      </c>
      <c r="C32" s="5">
        <v>22</v>
      </c>
      <c r="D32" s="5">
        <v>2.1560000000000001</v>
      </c>
      <c r="E32" s="5">
        <v>215.6</v>
      </c>
      <c r="F32" s="5">
        <v>57.7</v>
      </c>
      <c r="G32" s="5">
        <v>12433</v>
      </c>
      <c r="H32" s="5">
        <v>5692</v>
      </c>
      <c r="I32" s="5">
        <v>1263</v>
      </c>
      <c r="J32" s="5">
        <v>14</v>
      </c>
      <c r="K32" s="5">
        <v>5457</v>
      </c>
      <c r="L32" s="5">
        <v>6</v>
      </c>
      <c r="M32" s="5">
        <v>1</v>
      </c>
      <c r="N32" s="5">
        <v>4518</v>
      </c>
      <c r="O32" s="5">
        <v>4517</v>
      </c>
      <c r="P32" s="5">
        <v>3911</v>
      </c>
      <c r="Q32" s="5">
        <v>416</v>
      </c>
      <c r="R32" s="5">
        <v>99</v>
      </c>
      <c r="S32" s="5">
        <v>91</v>
      </c>
      <c r="T32" s="5">
        <v>1</v>
      </c>
    </row>
    <row r="33" spans="1:20" x14ac:dyDescent="0.2">
      <c r="A33" s="7">
        <v>3552403</v>
      </c>
      <c r="B33" s="2" t="s">
        <v>51</v>
      </c>
      <c r="C33" s="7">
        <v>13</v>
      </c>
      <c r="D33" s="7">
        <v>1.4690000000000001</v>
      </c>
      <c r="E33" s="7">
        <v>146.9</v>
      </c>
      <c r="F33" s="7">
        <v>75.8</v>
      </c>
      <c r="G33" s="7">
        <v>11138</v>
      </c>
      <c r="H33" s="7">
        <v>3719</v>
      </c>
      <c r="I33" s="7">
        <v>1349</v>
      </c>
      <c r="J33" s="7">
        <v>11</v>
      </c>
      <c r="K33" s="7">
        <v>6044</v>
      </c>
      <c r="L33" s="7">
        <v>15</v>
      </c>
      <c r="M33" s="7"/>
      <c r="N33" s="7">
        <v>4287</v>
      </c>
      <c r="O33" s="7">
        <v>4287</v>
      </c>
      <c r="P33" s="7">
        <v>3718</v>
      </c>
      <c r="Q33" s="7">
        <v>437</v>
      </c>
      <c r="R33" s="7">
        <v>126</v>
      </c>
      <c r="S33" s="7">
        <v>6</v>
      </c>
      <c r="T33" s="7"/>
    </row>
    <row r="34" spans="1:20" x14ac:dyDescent="0.2">
      <c r="A34" s="5">
        <v>3513009</v>
      </c>
      <c r="B34" s="1" t="s">
        <v>52</v>
      </c>
      <c r="C34" s="5">
        <v>19</v>
      </c>
      <c r="D34" s="5">
        <v>0.71899999999999997</v>
      </c>
      <c r="E34" s="5">
        <v>71.900000000000006</v>
      </c>
      <c r="F34" s="5">
        <v>154.69999999999999</v>
      </c>
      <c r="G34" s="5">
        <v>11123</v>
      </c>
      <c r="H34" s="5">
        <v>3554</v>
      </c>
      <c r="I34" s="5">
        <v>1565</v>
      </c>
      <c r="J34" s="5">
        <v>22</v>
      </c>
      <c r="K34" s="5">
        <v>5968</v>
      </c>
      <c r="L34" s="5">
        <v>14</v>
      </c>
      <c r="M34" s="5"/>
      <c r="N34" s="5">
        <v>4141</v>
      </c>
      <c r="O34" s="5">
        <v>4141</v>
      </c>
      <c r="P34" s="5">
        <v>3680</v>
      </c>
      <c r="Q34" s="5">
        <v>410</v>
      </c>
      <c r="R34" s="5">
        <v>46</v>
      </c>
      <c r="S34" s="5">
        <v>5</v>
      </c>
      <c r="T34" s="5"/>
    </row>
    <row r="35" spans="1:20" x14ac:dyDescent="0.2">
      <c r="A35" s="7">
        <v>3509205</v>
      </c>
      <c r="B35" s="2" t="s">
        <v>53</v>
      </c>
      <c r="C35" s="7">
        <v>21</v>
      </c>
      <c r="D35" s="7">
        <v>1.645</v>
      </c>
      <c r="E35" s="7">
        <v>164.5</v>
      </c>
      <c r="F35" s="7">
        <v>67.400000000000006</v>
      </c>
      <c r="G35" s="7">
        <v>11081</v>
      </c>
      <c r="H35" s="7">
        <v>4508</v>
      </c>
      <c r="I35" s="7">
        <v>1125</v>
      </c>
      <c r="J35" s="7">
        <v>5</v>
      </c>
      <c r="K35" s="7">
        <v>5426</v>
      </c>
      <c r="L35" s="7">
        <v>17</v>
      </c>
      <c r="M35" s="7"/>
      <c r="N35" s="7">
        <v>4148</v>
      </c>
      <c r="O35" s="7">
        <v>4148</v>
      </c>
      <c r="P35" s="7">
        <v>3751</v>
      </c>
      <c r="Q35" s="7">
        <v>344</v>
      </c>
      <c r="R35" s="7">
        <v>53</v>
      </c>
      <c r="S35" s="7"/>
      <c r="T35" s="7"/>
    </row>
    <row r="36" spans="1:20" x14ac:dyDescent="0.2">
      <c r="A36" s="5">
        <v>3538709</v>
      </c>
      <c r="B36" s="1" t="s">
        <v>54</v>
      </c>
      <c r="C36" s="5">
        <v>16</v>
      </c>
      <c r="D36" s="5">
        <v>0.84799999999999998</v>
      </c>
      <c r="E36" s="5">
        <v>84.8</v>
      </c>
      <c r="F36" s="5">
        <v>128.1</v>
      </c>
      <c r="G36" s="5">
        <v>10863</v>
      </c>
      <c r="H36" s="5">
        <v>3076</v>
      </c>
      <c r="I36" s="5">
        <v>1766</v>
      </c>
      <c r="J36" s="5">
        <v>6</v>
      </c>
      <c r="K36" s="5">
        <v>6010</v>
      </c>
      <c r="L36" s="5">
        <v>5</v>
      </c>
      <c r="M36" s="5"/>
      <c r="N36" s="5">
        <v>4590</v>
      </c>
      <c r="O36" s="5">
        <v>4588</v>
      </c>
      <c r="P36" s="5">
        <v>3450</v>
      </c>
      <c r="Q36" s="5">
        <v>604</v>
      </c>
      <c r="R36" s="5">
        <v>81</v>
      </c>
      <c r="S36" s="5">
        <v>453</v>
      </c>
      <c r="T36" s="5">
        <v>2</v>
      </c>
    </row>
    <row r="37" spans="1:20" x14ac:dyDescent="0.2">
      <c r="A37" s="7">
        <v>3509700</v>
      </c>
      <c r="B37" s="2" t="s">
        <v>55</v>
      </c>
      <c r="C37" s="7">
        <v>11</v>
      </c>
      <c r="D37" s="7">
        <v>0.93300000000000005</v>
      </c>
      <c r="E37" s="7">
        <v>93.3</v>
      </c>
      <c r="F37" s="7">
        <v>97.1</v>
      </c>
      <c r="G37" s="7">
        <v>9063</v>
      </c>
      <c r="H37" s="7">
        <v>6056</v>
      </c>
      <c r="I37" s="7">
        <v>368</v>
      </c>
      <c r="J37" s="7">
        <v>3</v>
      </c>
      <c r="K37" s="7">
        <v>2629</v>
      </c>
      <c r="L37" s="7">
        <v>7</v>
      </c>
      <c r="M37" s="7"/>
      <c r="N37" s="7">
        <v>3251</v>
      </c>
      <c r="O37" s="7">
        <v>3245</v>
      </c>
      <c r="P37" s="7">
        <v>2905</v>
      </c>
      <c r="Q37" s="7">
        <v>285</v>
      </c>
      <c r="R37" s="7">
        <v>54</v>
      </c>
      <c r="S37" s="7">
        <v>1</v>
      </c>
      <c r="T37" s="7">
        <v>6</v>
      </c>
    </row>
    <row r="38" spans="1:20" x14ac:dyDescent="0.2">
      <c r="A38" s="5">
        <v>3505708</v>
      </c>
      <c r="B38" s="1" t="s">
        <v>56</v>
      </c>
      <c r="C38" s="5">
        <v>14</v>
      </c>
      <c r="D38" s="5">
        <v>0.28999999999999998</v>
      </c>
      <c r="E38" s="5">
        <v>29</v>
      </c>
      <c r="F38" s="5">
        <v>300.60000000000002</v>
      </c>
      <c r="G38" s="5">
        <v>8717</v>
      </c>
      <c r="H38" s="5">
        <v>3055</v>
      </c>
      <c r="I38" s="5">
        <v>961</v>
      </c>
      <c r="J38" s="5">
        <v>9</v>
      </c>
      <c r="K38" s="5">
        <v>4689</v>
      </c>
      <c r="L38" s="5">
        <v>3</v>
      </c>
      <c r="M38" s="5"/>
      <c r="N38" s="5">
        <v>3094</v>
      </c>
      <c r="O38" s="5">
        <v>3094</v>
      </c>
      <c r="P38" s="5">
        <v>2925</v>
      </c>
      <c r="Q38" s="5">
        <v>150</v>
      </c>
      <c r="R38" s="5">
        <v>19</v>
      </c>
      <c r="S38" s="5"/>
      <c r="T38" s="5"/>
    </row>
    <row r="39" spans="1:20" x14ac:dyDescent="0.2">
      <c r="A39" s="7">
        <v>3509007</v>
      </c>
      <c r="B39" s="2" t="s">
        <v>57</v>
      </c>
      <c r="C39" s="7">
        <v>10</v>
      </c>
      <c r="D39" s="7">
        <v>0.42399999999999999</v>
      </c>
      <c r="E39" s="7">
        <v>42.4</v>
      </c>
      <c r="F39" s="7">
        <v>161.6</v>
      </c>
      <c r="G39" s="7">
        <v>6850</v>
      </c>
      <c r="H39" s="7">
        <v>2197</v>
      </c>
      <c r="I39" s="7">
        <v>924</v>
      </c>
      <c r="J39" s="7">
        <v>9</v>
      </c>
      <c r="K39" s="7">
        <v>3696</v>
      </c>
      <c r="L39" s="7">
        <v>24</v>
      </c>
      <c r="M39" s="7"/>
      <c r="N39" s="7">
        <v>2360</v>
      </c>
      <c r="O39" s="7">
        <v>2360</v>
      </c>
      <c r="P39" s="7">
        <v>2233</v>
      </c>
      <c r="Q39" s="7">
        <v>121</v>
      </c>
      <c r="R39" s="7">
        <v>6</v>
      </c>
      <c r="S39" s="7"/>
      <c r="T39" s="7"/>
    </row>
    <row r="40" spans="1:20" x14ac:dyDescent="0.2">
      <c r="A40" s="5">
        <v>3520400</v>
      </c>
      <c r="B40" s="1" t="s">
        <v>58</v>
      </c>
      <c r="C40" s="5">
        <v>13</v>
      </c>
      <c r="D40" s="5">
        <v>1.0960000000000001</v>
      </c>
      <c r="E40" s="5">
        <v>109.6</v>
      </c>
      <c r="F40" s="5">
        <v>62.3</v>
      </c>
      <c r="G40" s="5">
        <v>6833</v>
      </c>
      <c r="H40" s="5">
        <v>2557</v>
      </c>
      <c r="I40" s="5">
        <v>725</v>
      </c>
      <c r="J40" s="5">
        <v>18</v>
      </c>
      <c r="K40" s="5">
        <v>3475</v>
      </c>
      <c r="L40" s="5">
        <v>58</v>
      </c>
      <c r="M40" s="5"/>
      <c r="N40" s="5">
        <v>2598</v>
      </c>
      <c r="O40" s="5">
        <v>2597</v>
      </c>
      <c r="P40" s="5">
        <v>2318</v>
      </c>
      <c r="Q40" s="5">
        <v>125</v>
      </c>
      <c r="R40" s="5">
        <v>153</v>
      </c>
      <c r="S40" s="5">
        <v>1</v>
      </c>
      <c r="T40" s="5">
        <v>1</v>
      </c>
    </row>
    <row r="41" spans="1:20" x14ac:dyDescent="0.2">
      <c r="A41" s="7">
        <v>3549904</v>
      </c>
      <c r="B41" s="2" t="s">
        <v>59</v>
      </c>
      <c r="C41" s="7">
        <v>12</v>
      </c>
      <c r="D41" s="7">
        <v>1.121</v>
      </c>
      <c r="E41" s="7">
        <v>112.1</v>
      </c>
      <c r="F41" s="7">
        <v>58</v>
      </c>
      <c r="G41" s="7">
        <v>6497</v>
      </c>
      <c r="H41" s="7">
        <v>2604</v>
      </c>
      <c r="I41" s="7">
        <v>707</v>
      </c>
      <c r="J41" s="7">
        <v>2</v>
      </c>
      <c r="K41" s="7">
        <v>3174</v>
      </c>
      <c r="L41" s="7">
        <v>10</v>
      </c>
      <c r="M41" s="7"/>
      <c r="N41" s="7">
        <v>2349</v>
      </c>
      <c r="O41" s="7">
        <v>2348</v>
      </c>
      <c r="P41" s="7">
        <v>2171</v>
      </c>
      <c r="Q41" s="7">
        <v>140</v>
      </c>
      <c r="R41" s="7">
        <v>27</v>
      </c>
      <c r="S41" s="7">
        <v>10</v>
      </c>
      <c r="T41" s="7">
        <v>1</v>
      </c>
    </row>
    <row r="42" spans="1:20" x14ac:dyDescent="0.2">
      <c r="A42" s="5">
        <v>3524402</v>
      </c>
      <c r="B42" s="1" t="s">
        <v>60</v>
      </c>
      <c r="C42" s="5">
        <v>10</v>
      </c>
      <c r="D42" s="5">
        <v>0.90600000000000003</v>
      </c>
      <c r="E42" s="5">
        <v>90.6</v>
      </c>
      <c r="F42" s="5">
        <v>70.3</v>
      </c>
      <c r="G42" s="5">
        <v>6365</v>
      </c>
      <c r="H42" s="5">
        <v>2737</v>
      </c>
      <c r="I42" s="5">
        <v>679</v>
      </c>
      <c r="J42" s="5">
        <v>8</v>
      </c>
      <c r="K42" s="5">
        <v>2936</v>
      </c>
      <c r="L42" s="5">
        <v>5</v>
      </c>
      <c r="M42" s="5"/>
      <c r="N42" s="5">
        <v>2402</v>
      </c>
      <c r="O42" s="5">
        <v>2402</v>
      </c>
      <c r="P42" s="5">
        <v>2109</v>
      </c>
      <c r="Q42" s="5">
        <v>259</v>
      </c>
      <c r="R42" s="5">
        <v>34</v>
      </c>
      <c r="S42" s="5"/>
      <c r="T42" s="5"/>
    </row>
    <row r="43" spans="1:20" x14ac:dyDescent="0.2">
      <c r="A43" s="7">
        <v>3506003</v>
      </c>
      <c r="B43" s="2" t="s">
        <v>61</v>
      </c>
      <c r="C43" s="7">
        <v>15</v>
      </c>
      <c r="D43" s="7">
        <v>2.38</v>
      </c>
      <c r="E43" s="7">
        <v>238</v>
      </c>
      <c r="F43" s="7">
        <v>26.5</v>
      </c>
      <c r="G43" s="7">
        <v>6310</v>
      </c>
      <c r="H43" s="7">
        <v>2311</v>
      </c>
      <c r="I43" s="7">
        <v>745</v>
      </c>
      <c r="J43" s="7">
        <v>4</v>
      </c>
      <c r="K43" s="7">
        <v>3242</v>
      </c>
      <c r="L43" s="7">
        <v>8</v>
      </c>
      <c r="M43" s="7"/>
      <c r="N43" s="7">
        <v>2586</v>
      </c>
      <c r="O43" s="7">
        <v>2586</v>
      </c>
      <c r="P43" s="7">
        <v>2018</v>
      </c>
      <c r="Q43" s="7">
        <v>317</v>
      </c>
      <c r="R43" s="7">
        <v>187</v>
      </c>
      <c r="S43" s="7">
        <v>64</v>
      </c>
      <c r="T43" s="7"/>
    </row>
    <row r="44" spans="1:20" x14ac:dyDescent="0.2">
      <c r="A44" s="5">
        <v>3510500</v>
      </c>
      <c r="B44" s="1" t="s">
        <v>62</v>
      </c>
      <c r="C44" s="5">
        <v>12</v>
      </c>
      <c r="D44" s="5">
        <v>1.296</v>
      </c>
      <c r="E44" s="5">
        <v>129.6</v>
      </c>
      <c r="F44" s="5">
        <v>43.2</v>
      </c>
      <c r="G44" s="5">
        <v>5601</v>
      </c>
      <c r="H44" s="5">
        <v>2398</v>
      </c>
      <c r="I44" s="5">
        <v>562</v>
      </c>
      <c r="J44" s="5">
        <v>2</v>
      </c>
      <c r="K44" s="5">
        <v>2622</v>
      </c>
      <c r="L44" s="5">
        <v>17</v>
      </c>
      <c r="M44" s="5"/>
      <c r="N44" s="5">
        <v>2396</v>
      </c>
      <c r="O44" s="5">
        <v>2396</v>
      </c>
      <c r="P44" s="5">
        <v>1833</v>
      </c>
      <c r="Q44" s="5">
        <v>263</v>
      </c>
      <c r="R44" s="5">
        <v>261</v>
      </c>
      <c r="S44" s="5">
        <v>39</v>
      </c>
      <c r="T44" s="5"/>
    </row>
    <row r="45" spans="1:20" x14ac:dyDescent="0.2">
      <c r="A45" s="7">
        <v>3504107</v>
      </c>
      <c r="B45" s="2" t="s">
        <v>63</v>
      </c>
      <c r="C45" s="7">
        <v>11</v>
      </c>
      <c r="D45" s="7">
        <v>0.78800000000000003</v>
      </c>
      <c r="E45" s="7">
        <v>78.8</v>
      </c>
      <c r="F45" s="7">
        <v>68.099999999999994</v>
      </c>
      <c r="G45" s="7">
        <v>5370</v>
      </c>
      <c r="H45" s="7">
        <v>2526</v>
      </c>
      <c r="I45" s="7">
        <v>450</v>
      </c>
      <c r="J45" s="7">
        <v>16</v>
      </c>
      <c r="K45" s="7">
        <v>2371</v>
      </c>
      <c r="L45" s="7">
        <v>7</v>
      </c>
      <c r="M45" s="7"/>
      <c r="N45" s="7">
        <v>1961</v>
      </c>
      <c r="O45" s="7">
        <v>1960</v>
      </c>
      <c r="P45" s="7">
        <v>1761</v>
      </c>
      <c r="Q45" s="7">
        <v>151</v>
      </c>
      <c r="R45" s="7">
        <v>42</v>
      </c>
      <c r="S45" s="7">
        <v>6</v>
      </c>
      <c r="T45" s="7">
        <v>1</v>
      </c>
    </row>
    <row r="46" spans="1:20" x14ac:dyDescent="0.2">
      <c r="A46" s="5">
        <v>3544103</v>
      </c>
      <c r="B46" s="1" t="s">
        <v>64</v>
      </c>
      <c r="C46" s="5">
        <v>7</v>
      </c>
      <c r="D46" s="5">
        <v>0.70899999999999996</v>
      </c>
      <c r="E46" s="5">
        <v>70.900000000000006</v>
      </c>
      <c r="F46" s="5">
        <v>73.3</v>
      </c>
      <c r="G46" s="5">
        <v>5195</v>
      </c>
      <c r="H46" s="5">
        <v>2055</v>
      </c>
      <c r="I46" s="5">
        <v>576</v>
      </c>
      <c r="J46" s="5">
        <v>3</v>
      </c>
      <c r="K46" s="5">
        <v>2550</v>
      </c>
      <c r="L46" s="5">
        <v>11</v>
      </c>
      <c r="M46" s="5"/>
      <c r="N46" s="5">
        <v>2049</v>
      </c>
      <c r="O46" s="5">
        <v>2048</v>
      </c>
      <c r="P46" s="5">
        <v>1842</v>
      </c>
      <c r="Q46" s="5">
        <v>178</v>
      </c>
      <c r="R46" s="5">
        <v>28</v>
      </c>
      <c r="S46" s="5"/>
      <c r="T46" s="5">
        <v>1</v>
      </c>
    </row>
    <row r="47" spans="1:20" x14ac:dyDescent="0.2">
      <c r="A47" s="7">
        <v>3525003</v>
      </c>
      <c r="B47" s="2" t="s">
        <v>65</v>
      </c>
      <c r="C47" s="7">
        <v>8</v>
      </c>
      <c r="D47" s="7">
        <v>0.20599999999999999</v>
      </c>
      <c r="E47" s="7">
        <v>20.6</v>
      </c>
      <c r="F47" s="7">
        <v>241.5</v>
      </c>
      <c r="G47" s="7">
        <v>4974</v>
      </c>
      <c r="H47" s="7">
        <v>1570</v>
      </c>
      <c r="I47" s="7">
        <v>826</v>
      </c>
      <c r="J47" s="7">
        <v>3</v>
      </c>
      <c r="K47" s="7">
        <v>2575</v>
      </c>
      <c r="L47" s="7"/>
      <c r="M47" s="7"/>
      <c r="N47" s="7">
        <v>1891</v>
      </c>
      <c r="O47" s="7">
        <v>1891</v>
      </c>
      <c r="P47" s="7">
        <v>1692</v>
      </c>
      <c r="Q47" s="7">
        <v>189</v>
      </c>
      <c r="R47" s="7">
        <v>6</v>
      </c>
      <c r="S47" s="7">
        <v>4</v>
      </c>
      <c r="T47" s="7"/>
    </row>
    <row r="48" spans="1:20" x14ac:dyDescent="0.2">
      <c r="A48" s="5">
        <v>3557006</v>
      </c>
      <c r="B48" s="1" t="s">
        <v>66</v>
      </c>
      <c r="C48" s="5">
        <v>9</v>
      </c>
      <c r="D48" s="5">
        <v>0.55300000000000005</v>
      </c>
      <c r="E48" s="5">
        <v>55.3</v>
      </c>
      <c r="F48" s="5">
        <v>89</v>
      </c>
      <c r="G48" s="5">
        <v>4919</v>
      </c>
      <c r="H48" s="5">
        <v>2028</v>
      </c>
      <c r="I48" s="5">
        <v>512</v>
      </c>
      <c r="J48" s="5">
        <v>3</v>
      </c>
      <c r="K48" s="5">
        <v>2371</v>
      </c>
      <c r="L48" s="5">
        <v>5</v>
      </c>
      <c r="M48" s="5"/>
      <c r="N48" s="5">
        <v>1613</v>
      </c>
      <c r="O48" s="5">
        <v>1613</v>
      </c>
      <c r="P48" s="5">
        <v>1404</v>
      </c>
      <c r="Q48" s="5">
        <v>77</v>
      </c>
      <c r="R48" s="5">
        <v>14</v>
      </c>
      <c r="S48" s="5">
        <v>118</v>
      </c>
      <c r="T48" s="5"/>
    </row>
    <row r="49" spans="1:20" x14ac:dyDescent="0.2">
      <c r="A49" s="7">
        <v>3543303</v>
      </c>
      <c r="B49" s="2" t="s">
        <v>67</v>
      </c>
      <c r="C49" s="7">
        <v>4</v>
      </c>
      <c r="D49" s="7">
        <v>0.315</v>
      </c>
      <c r="E49" s="7">
        <v>31.5</v>
      </c>
      <c r="F49" s="7">
        <v>148.5</v>
      </c>
      <c r="G49" s="7">
        <v>4678</v>
      </c>
      <c r="H49" s="7">
        <v>1681</v>
      </c>
      <c r="I49" s="7">
        <v>525</v>
      </c>
      <c r="J49" s="7"/>
      <c r="K49" s="7">
        <v>2471</v>
      </c>
      <c r="L49" s="7">
        <v>1</v>
      </c>
      <c r="M49" s="7"/>
      <c r="N49" s="7">
        <v>1773</v>
      </c>
      <c r="O49" s="7">
        <v>1773</v>
      </c>
      <c r="P49" s="7">
        <v>1629</v>
      </c>
      <c r="Q49" s="7">
        <v>90</v>
      </c>
      <c r="R49" s="7">
        <v>5</v>
      </c>
      <c r="S49" s="7">
        <v>49</v>
      </c>
      <c r="T49" s="7"/>
    </row>
    <row r="50" spans="1:20" x14ac:dyDescent="0.2">
      <c r="A50" s="5">
        <v>3519071</v>
      </c>
      <c r="B50" s="1" t="s">
        <v>68</v>
      </c>
      <c r="C50" s="5">
        <v>7</v>
      </c>
      <c r="D50" s="5">
        <v>0.35799999999999998</v>
      </c>
      <c r="E50" s="5">
        <v>35.799999999999997</v>
      </c>
      <c r="F50" s="5">
        <v>118</v>
      </c>
      <c r="G50" s="5">
        <v>4223</v>
      </c>
      <c r="H50" s="5">
        <v>1270</v>
      </c>
      <c r="I50" s="5">
        <v>519</v>
      </c>
      <c r="J50" s="5">
        <v>2</v>
      </c>
      <c r="K50" s="5">
        <v>2422</v>
      </c>
      <c r="L50" s="5">
        <v>10</v>
      </c>
      <c r="M50" s="5"/>
      <c r="N50" s="5">
        <v>1447</v>
      </c>
      <c r="O50" s="5">
        <v>1447</v>
      </c>
      <c r="P50" s="5">
        <v>1366</v>
      </c>
      <c r="Q50" s="5">
        <v>66</v>
      </c>
      <c r="R50" s="5">
        <v>15</v>
      </c>
      <c r="S50" s="5"/>
      <c r="T50" s="5"/>
    </row>
    <row r="51" spans="1:20" x14ac:dyDescent="0.2">
      <c r="A51" s="7">
        <v>3547304</v>
      </c>
      <c r="B51" s="2" t="s">
        <v>69</v>
      </c>
      <c r="C51" s="7">
        <v>8</v>
      </c>
      <c r="D51" s="7">
        <v>0.29799999999999999</v>
      </c>
      <c r="E51" s="7">
        <v>29.8</v>
      </c>
      <c r="F51" s="7">
        <v>127.3</v>
      </c>
      <c r="G51" s="7">
        <v>3793</v>
      </c>
      <c r="H51" s="7">
        <v>1165</v>
      </c>
      <c r="I51" s="7">
        <v>376</v>
      </c>
      <c r="J51" s="7">
        <v>2</v>
      </c>
      <c r="K51" s="7">
        <v>2247</v>
      </c>
      <c r="L51" s="7">
        <v>3</v>
      </c>
      <c r="M51" s="7"/>
      <c r="N51" s="7">
        <v>1356</v>
      </c>
      <c r="O51" s="7">
        <v>1356</v>
      </c>
      <c r="P51" s="7">
        <v>1266</v>
      </c>
      <c r="Q51" s="7">
        <v>83</v>
      </c>
      <c r="R51" s="7">
        <v>7</v>
      </c>
      <c r="S51" s="7"/>
      <c r="T51" s="7"/>
    </row>
    <row r="52" spans="1:20" x14ac:dyDescent="0.2">
      <c r="A52" s="5">
        <v>3528502</v>
      </c>
      <c r="B52" s="1" t="s">
        <v>70</v>
      </c>
      <c r="C52" s="5">
        <v>11</v>
      </c>
      <c r="D52" s="5">
        <v>0.65300000000000002</v>
      </c>
      <c r="E52" s="5">
        <v>65.3</v>
      </c>
      <c r="F52" s="5">
        <v>53.2</v>
      </c>
      <c r="G52" s="5">
        <v>3475</v>
      </c>
      <c r="H52" s="5">
        <v>1406</v>
      </c>
      <c r="I52" s="5">
        <v>346</v>
      </c>
      <c r="J52" s="5">
        <v>3</v>
      </c>
      <c r="K52" s="5">
        <v>1716</v>
      </c>
      <c r="L52" s="5">
        <v>4</v>
      </c>
      <c r="M52" s="5"/>
      <c r="N52" s="5">
        <v>1319</v>
      </c>
      <c r="O52" s="5">
        <v>1319</v>
      </c>
      <c r="P52" s="5">
        <v>1181</v>
      </c>
      <c r="Q52" s="5">
        <v>107</v>
      </c>
      <c r="R52" s="5">
        <v>30</v>
      </c>
      <c r="S52" s="5">
        <v>1</v>
      </c>
      <c r="T52" s="5"/>
    </row>
    <row r="53" spans="1:20" x14ac:dyDescent="0.2">
      <c r="A53" s="7">
        <v>3509601</v>
      </c>
      <c r="B53" s="2" t="s">
        <v>71</v>
      </c>
      <c r="C53" s="7">
        <v>5</v>
      </c>
      <c r="D53" s="7">
        <v>0.98099999999999998</v>
      </c>
      <c r="E53" s="7">
        <v>98.1</v>
      </c>
      <c r="F53" s="7">
        <v>34.1</v>
      </c>
      <c r="G53" s="7">
        <v>3350</v>
      </c>
      <c r="H53" s="7">
        <v>1196</v>
      </c>
      <c r="I53" s="7">
        <v>455</v>
      </c>
      <c r="J53" s="7">
        <v>1</v>
      </c>
      <c r="K53" s="7">
        <v>1697</v>
      </c>
      <c r="L53" s="7">
        <v>1</v>
      </c>
      <c r="M53" s="7"/>
      <c r="N53" s="7">
        <v>1282</v>
      </c>
      <c r="O53" s="7">
        <v>1282</v>
      </c>
      <c r="P53" s="7">
        <v>1004</v>
      </c>
      <c r="Q53" s="7">
        <v>137</v>
      </c>
      <c r="R53" s="7">
        <v>60</v>
      </c>
      <c r="S53" s="7">
        <v>81</v>
      </c>
      <c r="T53" s="7"/>
    </row>
    <row r="54" spans="1:20" x14ac:dyDescent="0.2">
      <c r="A54" s="5">
        <v>3523909</v>
      </c>
      <c r="B54" s="1" t="s">
        <v>72</v>
      </c>
      <c r="C54" s="5">
        <v>6</v>
      </c>
      <c r="D54" s="5">
        <v>0.35099999999999998</v>
      </c>
      <c r="E54" s="5">
        <v>35.1</v>
      </c>
      <c r="F54" s="5">
        <v>92.5</v>
      </c>
      <c r="G54" s="5">
        <v>3245</v>
      </c>
      <c r="H54" s="5">
        <v>1291</v>
      </c>
      <c r="I54" s="5">
        <v>268</v>
      </c>
      <c r="J54" s="5"/>
      <c r="K54" s="5">
        <v>1686</v>
      </c>
      <c r="L54" s="5"/>
      <c r="M54" s="5"/>
      <c r="N54" s="5">
        <v>1260</v>
      </c>
      <c r="O54" s="5">
        <v>1260</v>
      </c>
      <c r="P54" s="5">
        <v>1061</v>
      </c>
      <c r="Q54" s="5">
        <v>165</v>
      </c>
      <c r="R54" s="5">
        <v>28</v>
      </c>
      <c r="S54" s="5">
        <v>6</v>
      </c>
      <c r="T54" s="5"/>
    </row>
    <row r="55" spans="1:20" x14ac:dyDescent="0.2">
      <c r="A55" s="7">
        <v>3529005</v>
      </c>
      <c r="B55" s="2" t="s">
        <v>73</v>
      </c>
      <c r="C55" s="7">
        <v>13</v>
      </c>
      <c r="D55" s="7">
        <v>0.75800000000000001</v>
      </c>
      <c r="E55" s="7">
        <v>75.8</v>
      </c>
      <c r="F55" s="7">
        <v>42.1</v>
      </c>
      <c r="G55" s="7">
        <v>3190</v>
      </c>
      <c r="H55" s="7">
        <v>1127</v>
      </c>
      <c r="I55" s="7">
        <v>413</v>
      </c>
      <c r="J55" s="7">
        <v>4</v>
      </c>
      <c r="K55" s="7">
        <v>1636</v>
      </c>
      <c r="L55" s="7">
        <v>10</v>
      </c>
      <c r="M55" s="7"/>
      <c r="N55" s="7">
        <v>1222</v>
      </c>
      <c r="O55" s="7">
        <v>1222</v>
      </c>
      <c r="P55" s="7">
        <v>1084</v>
      </c>
      <c r="Q55" s="7">
        <v>127</v>
      </c>
      <c r="R55" s="7">
        <v>10</v>
      </c>
      <c r="S55" s="7">
        <v>1</v>
      </c>
      <c r="T55" s="7"/>
    </row>
    <row r="56" spans="1:20" x14ac:dyDescent="0.2">
      <c r="A56" s="5">
        <v>3539103</v>
      </c>
      <c r="B56" s="1" t="s">
        <v>74</v>
      </c>
      <c r="C56" s="5">
        <v>4</v>
      </c>
      <c r="D56" s="5">
        <v>0.21299999999999999</v>
      </c>
      <c r="E56" s="5">
        <v>21.3</v>
      </c>
      <c r="F56" s="5">
        <v>139.80000000000001</v>
      </c>
      <c r="G56" s="5">
        <v>2978</v>
      </c>
      <c r="H56" s="5">
        <v>897</v>
      </c>
      <c r="I56" s="5">
        <v>436</v>
      </c>
      <c r="J56" s="5">
        <v>1</v>
      </c>
      <c r="K56" s="5">
        <v>1628</v>
      </c>
      <c r="L56" s="5">
        <v>16</v>
      </c>
      <c r="M56" s="5"/>
      <c r="N56" s="5">
        <v>982</v>
      </c>
      <c r="O56" s="5">
        <v>982</v>
      </c>
      <c r="P56" s="5">
        <v>901</v>
      </c>
      <c r="Q56" s="5">
        <v>57</v>
      </c>
      <c r="R56" s="5">
        <v>20</v>
      </c>
      <c r="S56" s="5">
        <v>4</v>
      </c>
      <c r="T56" s="5"/>
    </row>
    <row r="57" spans="1:20" x14ac:dyDescent="0.2">
      <c r="A57" s="7">
        <v>3554805</v>
      </c>
      <c r="B57" s="2" t="s">
        <v>75</v>
      </c>
      <c r="C57" s="7">
        <v>6</v>
      </c>
      <c r="D57" s="7">
        <v>1.64</v>
      </c>
      <c r="E57" s="7">
        <v>164</v>
      </c>
      <c r="F57" s="7">
        <v>17</v>
      </c>
      <c r="G57" s="7">
        <v>2788</v>
      </c>
      <c r="H57" s="7">
        <v>1366</v>
      </c>
      <c r="I57" s="7">
        <v>196</v>
      </c>
      <c r="J57" s="7">
        <v>1</v>
      </c>
      <c r="K57" s="7">
        <v>1223</v>
      </c>
      <c r="L57" s="7">
        <v>2</v>
      </c>
      <c r="M57" s="7"/>
      <c r="N57" s="7">
        <v>1166</v>
      </c>
      <c r="O57" s="7">
        <v>1166</v>
      </c>
      <c r="P57" s="7">
        <v>902</v>
      </c>
      <c r="Q57" s="7">
        <v>146</v>
      </c>
      <c r="R57" s="7">
        <v>117</v>
      </c>
      <c r="S57" s="7">
        <v>1</v>
      </c>
      <c r="T57" s="7"/>
    </row>
    <row r="58" spans="1:20" x14ac:dyDescent="0.2">
      <c r="A58" s="5">
        <v>3550605</v>
      </c>
      <c r="B58" s="1" t="s">
        <v>76</v>
      </c>
      <c r="C58" s="5">
        <v>7</v>
      </c>
      <c r="D58" s="5">
        <v>0.47499999999999998</v>
      </c>
      <c r="E58" s="5">
        <v>47.5</v>
      </c>
      <c r="F58" s="5">
        <v>53.1</v>
      </c>
      <c r="G58" s="5">
        <v>2521</v>
      </c>
      <c r="H58" s="5">
        <v>1054</v>
      </c>
      <c r="I58" s="5">
        <v>254</v>
      </c>
      <c r="J58" s="5">
        <v>8</v>
      </c>
      <c r="K58" s="5">
        <v>1205</v>
      </c>
      <c r="L58" s="5"/>
      <c r="M58" s="5"/>
      <c r="N58" s="5">
        <v>884</v>
      </c>
      <c r="O58" s="5">
        <v>884</v>
      </c>
      <c r="P58" s="5">
        <v>791</v>
      </c>
      <c r="Q58" s="5">
        <v>73</v>
      </c>
      <c r="R58" s="5">
        <v>19</v>
      </c>
      <c r="S58" s="5">
        <v>1</v>
      </c>
      <c r="T58" s="5"/>
    </row>
    <row r="59" spans="1:20" x14ac:dyDescent="0.2">
      <c r="A59" s="7">
        <v>3506607</v>
      </c>
      <c r="B59" s="2" t="s">
        <v>77</v>
      </c>
      <c r="C59" s="7">
        <v>4</v>
      </c>
      <c r="D59" s="7">
        <v>0.14599999999999999</v>
      </c>
      <c r="E59" s="7">
        <v>14.6</v>
      </c>
      <c r="F59" s="7">
        <v>164.4</v>
      </c>
      <c r="G59" s="7">
        <v>2400</v>
      </c>
      <c r="H59" s="7">
        <v>1023</v>
      </c>
      <c r="I59" s="7">
        <v>191</v>
      </c>
      <c r="J59" s="7"/>
      <c r="K59" s="7">
        <v>1181</v>
      </c>
      <c r="L59" s="7">
        <v>5</v>
      </c>
      <c r="M59" s="7"/>
      <c r="N59" s="7">
        <v>886</v>
      </c>
      <c r="O59" s="7">
        <v>886</v>
      </c>
      <c r="P59" s="7">
        <v>795</v>
      </c>
      <c r="Q59" s="7">
        <v>70</v>
      </c>
      <c r="R59" s="7">
        <v>21</v>
      </c>
      <c r="S59" s="7"/>
      <c r="T59" s="7"/>
    </row>
    <row r="60" spans="1:20" x14ac:dyDescent="0.2">
      <c r="A60" s="5">
        <v>3539806</v>
      </c>
      <c r="B60" s="1" t="s">
        <v>78</v>
      </c>
      <c r="C60" s="5">
        <v>4</v>
      </c>
      <c r="D60" s="5">
        <v>0.27200000000000002</v>
      </c>
      <c r="E60" s="5">
        <v>27.2</v>
      </c>
      <c r="F60" s="5">
        <v>75</v>
      </c>
      <c r="G60" s="5">
        <v>2040</v>
      </c>
      <c r="H60" s="5">
        <v>723</v>
      </c>
      <c r="I60" s="5">
        <v>254</v>
      </c>
      <c r="J60" s="5">
        <v>4</v>
      </c>
      <c r="K60" s="5">
        <v>1055</v>
      </c>
      <c r="L60" s="5">
        <v>4</v>
      </c>
      <c r="M60" s="5"/>
      <c r="N60" s="5">
        <v>775</v>
      </c>
      <c r="O60" s="5">
        <v>775</v>
      </c>
      <c r="P60" s="5">
        <v>677</v>
      </c>
      <c r="Q60" s="5">
        <v>73</v>
      </c>
      <c r="R60" s="5">
        <v>25</v>
      </c>
      <c r="S60" s="5"/>
      <c r="T60" s="5"/>
    </row>
    <row r="61" spans="1:20" x14ac:dyDescent="0.2">
      <c r="A61" s="7">
        <v>3512803</v>
      </c>
      <c r="B61" s="2" t="s">
        <v>79</v>
      </c>
      <c r="C61" s="7">
        <v>4</v>
      </c>
      <c r="D61" s="7">
        <v>0.16500000000000001</v>
      </c>
      <c r="E61" s="7">
        <v>16.5</v>
      </c>
      <c r="F61" s="7">
        <v>100.1</v>
      </c>
      <c r="G61" s="7">
        <v>1652</v>
      </c>
      <c r="H61" s="7">
        <v>468</v>
      </c>
      <c r="I61" s="7">
        <v>250</v>
      </c>
      <c r="J61" s="7">
        <v>1</v>
      </c>
      <c r="K61" s="7">
        <v>933</v>
      </c>
      <c r="L61" s="7"/>
      <c r="M61" s="7"/>
      <c r="N61" s="7">
        <v>716</v>
      </c>
      <c r="O61" s="7">
        <v>716</v>
      </c>
      <c r="P61" s="7">
        <v>597</v>
      </c>
      <c r="Q61" s="7">
        <v>73</v>
      </c>
      <c r="R61" s="7">
        <v>44</v>
      </c>
      <c r="S61" s="7">
        <v>2</v>
      </c>
      <c r="T61" s="7"/>
    </row>
    <row r="62" spans="1:20" x14ac:dyDescent="0.2">
      <c r="A62" s="5">
        <v>3550407</v>
      </c>
      <c r="B62" s="1" t="s">
        <v>80</v>
      </c>
      <c r="C62" s="5">
        <v>1</v>
      </c>
      <c r="D62" s="5">
        <v>0.20899999999999999</v>
      </c>
      <c r="E62" s="5">
        <v>20.9</v>
      </c>
      <c r="F62" s="5">
        <v>74.5</v>
      </c>
      <c r="G62" s="5">
        <v>1557</v>
      </c>
      <c r="H62" s="5">
        <v>704</v>
      </c>
      <c r="I62" s="5">
        <v>107</v>
      </c>
      <c r="J62" s="5"/>
      <c r="K62" s="5">
        <v>746</v>
      </c>
      <c r="L62" s="5"/>
      <c r="M62" s="5"/>
      <c r="N62" s="5">
        <v>472</v>
      </c>
      <c r="O62" s="5">
        <v>472</v>
      </c>
      <c r="P62" s="5">
        <v>441</v>
      </c>
      <c r="Q62" s="5">
        <v>16</v>
      </c>
      <c r="R62" s="5">
        <v>1</v>
      </c>
      <c r="S62" s="5">
        <v>14</v>
      </c>
      <c r="T62" s="5"/>
    </row>
    <row r="63" spans="1:20" x14ac:dyDescent="0.2">
      <c r="A63" s="7">
        <v>3503901</v>
      </c>
      <c r="B63" s="2" t="s">
        <v>81</v>
      </c>
      <c r="C63" s="7">
        <v>4</v>
      </c>
      <c r="D63" s="7">
        <v>0.33800000000000002</v>
      </c>
      <c r="E63" s="7">
        <v>33.799999999999997</v>
      </c>
      <c r="F63" s="7">
        <v>40.5</v>
      </c>
      <c r="G63" s="7">
        <v>1368</v>
      </c>
      <c r="H63" s="7">
        <v>466</v>
      </c>
      <c r="I63" s="7">
        <v>143</v>
      </c>
      <c r="J63" s="7">
        <v>1</v>
      </c>
      <c r="K63" s="7">
        <v>758</v>
      </c>
      <c r="L63" s="7"/>
      <c r="M63" s="7"/>
      <c r="N63" s="7">
        <v>460</v>
      </c>
      <c r="O63" s="7">
        <v>460</v>
      </c>
      <c r="P63" s="7">
        <v>409</v>
      </c>
      <c r="Q63" s="7">
        <v>32</v>
      </c>
      <c r="R63" s="7">
        <v>19</v>
      </c>
      <c r="S63" s="7"/>
      <c r="T63" s="7"/>
    </row>
    <row r="64" spans="1:20" x14ac:dyDescent="0.2">
      <c r="A64" s="5">
        <v>3519709</v>
      </c>
      <c r="B64" s="1" t="s">
        <v>82</v>
      </c>
      <c r="C64" s="5">
        <v>3</v>
      </c>
      <c r="D64" s="5">
        <v>0.19800000000000001</v>
      </c>
      <c r="E64" s="5">
        <v>19.8</v>
      </c>
      <c r="F64" s="5">
        <v>63.2</v>
      </c>
      <c r="G64" s="5">
        <v>1252</v>
      </c>
      <c r="H64" s="5">
        <v>625</v>
      </c>
      <c r="I64" s="5">
        <v>121</v>
      </c>
      <c r="J64" s="5">
        <v>6</v>
      </c>
      <c r="K64" s="5">
        <v>491</v>
      </c>
      <c r="L64" s="5">
        <v>9</v>
      </c>
      <c r="M64" s="5"/>
      <c r="N64" s="5">
        <v>466</v>
      </c>
      <c r="O64" s="5">
        <v>466</v>
      </c>
      <c r="P64" s="5">
        <v>408</v>
      </c>
      <c r="Q64" s="5">
        <v>49</v>
      </c>
      <c r="R64" s="5">
        <v>8</v>
      </c>
      <c r="S64" s="5">
        <v>1</v>
      </c>
      <c r="T64" s="5"/>
    </row>
    <row r="65" spans="1:20" x14ac:dyDescent="0.2">
      <c r="A65" s="7">
        <v>3540705</v>
      </c>
      <c r="B65" s="2" t="s">
        <v>83</v>
      </c>
      <c r="C65" s="7">
        <v>1</v>
      </c>
      <c r="D65" s="7">
        <v>0.16900000000000001</v>
      </c>
      <c r="E65" s="7">
        <v>16.899999999999999</v>
      </c>
      <c r="F65" s="7">
        <v>73</v>
      </c>
      <c r="G65" s="7">
        <v>1234</v>
      </c>
      <c r="H65" s="7">
        <v>343</v>
      </c>
      <c r="I65" s="7">
        <v>97</v>
      </c>
      <c r="J65" s="7"/>
      <c r="K65" s="7">
        <v>794</v>
      </c>
      <c r="L65" s="7"/>
      <c r="M65" s="7"/>
      <c r="N65" s="7">
        <v>430</v>
      </c>
      <c r="O65" s="7">
        <v>430</v>
      </c>
      <c r="P65" s="7">
        <v>375</v>
      </c>
      <c r="Q65" s="7">
        <v>48</v>
      </c>
      <c r="R65" s="7">
        <v>7</v>
      </c>
      <c r="S65" s="7"/>
      <c r="T65" s="7"/>
    </row>
    <row r="66" spans="1:20" x14ac:dyDescent="0.2">
      <c r="A66" s="5">
        <v>3513405</v>
      </c>
      <c r="B66" s="1" t="s">
        <v>84</v>
      </c>
      <c r="C66" s="5">
        <v>4</v>
      </c>
      <c r="D66" s="5">
        <v>0.126</v>
      </c>
      <c r="E66" s="5">
        <v>12.6</v>
      </c>
      <c r="F66" s="5">
        <v>88</v>
      </c>
      <c r="G66" s="5">
        <v>1109</v>
      </c>
      <c r="H66" s="5">
        <v>499</v>
      </c>
      <c r="I66" s="5">
        <v>114</v>
      </c>
      <c r="J66" s="5">
        <v>1</v>
      </c>
      <c r="K66" s="5">
        <v>495</v>
      </c>
      <c r="L66" s="5"/>
      <c r="M66" s="5"/>
      <c r="N66" s="5">
        <v>393</v>
      </c>
      <c r="O66" s="5">
        <v>393</v>
      </c>
      <c r="P66" s="5">
        <v>344</v>
      </c>
      <c r="Q66" s="5">
        <v>26</v>
      </c>
      <c r="R66" s="5">
        <v>22</v>
      </c>
      <c r="S66" s="5">
        <v>1</v>
      </c>
      <c r="T66" s="5"/>
    </row>
    <row r="67" spans="1:20" x14ac:dyDescent="0.2">
      <c r="A67" s="7">
        <v>3527207</v>
      </c>
      <c r="B67" s="2" t="s">
        <v>85</v>
      </c>
      <c r="C67" s="7">
        <v>1</v>
      </c>
      <c r="D67" s="7">
        <v>0.12</v>
      </c>
      <c r="E67" s="7">
        <v>12</v>
      </c>
      <c r="F67" s="7">
        <v>85.4</v>
      </c>
      <c r="G67" s="7">
        <v>1025</v>
      </c>
      <c r="H67" s="7">
        <v>419</v>
      </c>
      <c r="I67" s="7">
        <v>93</v>
      </c>
      <c r="J67" s="7"/>
      <c r="K67" s="7">
        <v>513</v>
      </c>
      <c r="L67" s="7"/>
      <c r="M67" s="7"/>
      <c r="N67" s="7">
        <v>336</v>
      </c>
      <c r="O67" s="7">
        <v>336</v>
      </c>
      <c r="P67" s="7">
        <v>306</v>
      </c>
      <c r="Q67" s="7">
        <v>24</v>
      </c>
      <c r="R67" s="7">
        <v>6</v>
      </c>
      <c r="S67" s="7"/>
      <c r="T67" s="7"/>
    </row>
    <row r="68" spans="1:20" x14ac:dyDescent="0.2">
      <c r="A68" s="5">
        <v>3518404</v>
      </c>
      <c r="B68" s="1" t="s">
        <v>86</v>
      </c>
      <c r="C68" s="5">
        <v>1</v>
      </c>
      <c r="D68" s="5">
        <v>0.22900000000000001</v>
      </c>
      <c r="E68" s="5">
        <v>22.9</v>
      </c>
      <c r="F68" s="5">
        <v>44.1</v>
      </c>
      <c r="G68" s="5">
        <v>1011</v>
      </c>
      <c r="H68" s="5">
        <v>452</v>
      </c>
      <c r="I68" s="5">
        <v>89</v>
      </c>
      <c r="J68" s="5"/>
      <c r="K68" s="5">
        <v>470</v>
      </c>
      <c r="L68" s="5"/>
      <c r="M68" s="5"/>
      <c r="N68" s="5">
        <v>360</v>
      </c>
      <c r="O68" s="5">
        <v>360</v>
      </c>
      <c r="P68" s="5">
        <v>246</v>
      </c>
      <c r="Q68" s="5">
        <v>48</v>
      </c>
      <c r="R68" s="5">
        <v>3</v>
      </c>
      <c r="S68" s="5">
        <v>63</v>
      </c>
      <c r="T68" s="5"/>
    </row>
    <row r="69" spans="1:20" x14ac:dyDescent="0.2">
      <c r="A69" s="7">
        <v>3546405</v>
      </c>
      <c r="B69" s="2" t="s">
        <v>87</v>
      </c>
      <c r="C69" s="7">
        <v>1</v>
      </c>
      <c r="D69" s="7">
        <v>0.18099999999999999</v>
      </c>
      <c r="E69" s="7">
        <v>18.100000000000001</v>
      </c>
      <c r="F69" s="7">
        <v>55</v>
      </c>
      <c r="G69" s="7">
        <v>995</v>
      </c>
      <c r="H69" s="7">
        <v>415</v>
      </c>
      <c r="I69" s="7">
        <v>144</v>
      </c>
      <c r="J69" s="7"/>
      <c r="K69" s="7">
        <v>435</v>
      </c>
      <c r="L69" s="7">
        <v>1</v>
      </c>
      <c r="M69" s="7"/>
      <c r="N69" s="7">
        <v>323</v>
      </c>
      <c r="O69" s="7">
        <v>323</v>
      </c>
      <c r="P69" s="7">
        <v>293</v>
      </c>
      <c r="Q69" s="7">
        <v>25</v>
      </c>
      <c r="R69" s="7">
        <v>5</v>
      </c>
      <c r="S69" s="7"/>
      <c r="T69" s="7"/>
    </row>
    <row r="70" spans="1:20" x14ac:dyDescent="0.2">
      <c r="A70" s="5">
        <v>3508405</v>
      </c>
      <c r="B70" s="1" t="s">
        <v>88</v>
      </c>
      <c r="C70" s="5">
        <v>4</v>
      </c>
      <c r="D70" s="5">
        <v>0.113</v>
      </c>
      <c r="E70" s="5">
        <v>11.3</v>
      </c>
      <c r="F70" s="5">
        <v>84.1</v>
      </c>
      <c r="G70" s="5">
        <v>950</v>
      </c>
      <c r="H70" s="5">
        <v>391</v>
      </c>
      <c r="I70" s="5">
        <v>61</v>
      </c>
      <c r="J70" s="5"/>
      <c r="K70" s="5">
        <v>498</v>
      </c>
      <c r="L70" s="5"/>
      <c r="M70" s="5"/>
      <c r="N70" s="5">
        <v>329</v>
      </c>
      <c r="O70" s="5">
        <v>329</v>
      </c>
      <c r="P70" s="5">
        <v>296</v>
      </c>
      <c r="Q70" s="5">
        <v>25</v>
      </c>
      <c r="R70" s="5">
        <v>8</v>
      </c>
      <c r="S70" s="5"/>
      <c r="T70" s="5"/>
    </row>
    <row r="71" spans="1:20" x14ac:dyDescent="0.2">
      <c r="A71" s="7">
        <v>3515103</v>
      </c>
      <c r="B71" s="2" t="s">
        <v>89</v>
      </c>
      <c r="C71" s="7">
        <v>4</v>
      </c>
      <c r="D71" s="7">
        <v>8.1000000000000003E-2</v>
      </c>
      <c r="E71" s="7">
        <v>8.1</v>
      </c>
      <c r="F71" s="7">
        <v>111.4</v>
      </c>
      <c r="G71" s="7">
        <v>902</v>
      </c>
      <c r="H71" s="7">
        <v>281</v>
      </c>
      <c r="I71" s="7">
        <v>76</v>
      </c>
      <c r="J71" s="7">
        <v>4</v>
      </c>
      <c r="K71" s="7">
        <v>540</v>
      </c>
      <c r="L71" s="7">
        <v>1</v>
      </c>
      <c r="M71" s="7"/>
      <c r="N71" s="7">
        <v>343</v>
      </c>
      <c r="O71" s="7">
        <v>343</v>
      </c>
      <c r="P71" s="7">
        <v>289</v>
      </c>
      <c r="Q71" s="7">
        <v>42</v>
      </c>
      <c r="R71" s="7">
        <v>12</v>
      </c>
      <c r="S71" s="7"/>
      <c r="T71" s="7"/>
    </row>
    <row r="72" spans="1:20" x14ac:dyDescent="0.2">
      <c r="A72" s="5">
        <v>3504909</v>
      </c>
      <c r="B72" s="1" t="s">
        <v>90</v>
      </c>
      <c r="C72" s="5">
        <v>2</v>
      </c>
      <c r="D72" s="5">
        <v>0.14199999999999999</v>
      </c>
      <c r="E72" s="5">
        <v>14.2</v>
      </c>
      <c r="F72" s="5">
        <v>59.9</v>
      </c>
      <c r="G72" s="5">
        <v>850</v>
      </c>
      <c r="H72" s="5">
        <v>320</v>
      </c>
      <c r="I72" s="5">
        <v>124</v>
      </c>
      <c r="J72" s="5">
        <v>1</v>
      </c>
      <c r="K72" s="5">
        <v>405</v>
      </c>
      <c r="L72" s="5"/>
      <c r="M72" s="5"/>
      <c r="N72" s="5">
        <v>393</v>
      </c>
      <c r="O72" s="5">
        <v>393</v>
      </c>
      <c r="P72" s="5">
        <v>307</v>
      </c>
      <c r="Q72" s="5">
        <v>66</v>
      </c>
      <c r="R72" s="5">
        <v>20</v>
      </c>
      <c r="S72" s="5"/>
      <c r="T72" s="5"/>
    </row>
    <row r="73" spans="1:20" x14ac:dyDescent="0.2">
      <c r="A73" s="7">
        <v>3548906</v>
      </c>
      <c r="B73" s="2" t="s">
        <v>91</v>
      </c>
      <c r="C73" s="7">
        <v>5</v>
      </c>
      <c r="D73" s="7">
        <v>0.17</v>
      </c>
      <c r="E73" s="7">
        <v>17</v>
      </c>
      <c r="F73" s="7">
        <v>46.9</v>
      </c>
      <c r="G73" s="7">
        <v>798</v>
      </c>
      <c r="H73" s="7">
        <v>230</v>
      </c>
      <c r="I73" s="7">
        <v>94</v>
      </c>
      <c r="J73" s="7">
        <v>1</v>
      </c>
      <c r="K73" s="7">
        <v>472</v>
      </c>
      <c r="L73" s="7">
        <v>1</v>
      </c>
      <c r="M73" s="7"/>
      <c r="N73" s="7">
        <v>281</v>
      </c>
      <c r="O73" s="7">
        <v>281</v>
      </c>
      <c r="P73" s="7">
        <v>147</v>
      </c>
      <c r="Q73" s="7">
        <v>8</v>
      </c>
      <c r="R73" s="7">
        <v>14</v>
      </c>
      <c r="S73" s="7">
        <v>112</v>
      </c>
      <c r="T73" s="7"/>
    </row>
    <row r="74" spans="1:20" x14ac:dyDescent="0.2">
      <c r="A74" s="5">
        <v>3510401</v>
      </c>
      <c r="B74" s="1" t="s">
        <v>92</v>
      </c>
      <c r="C74" s="5">
        <v>3</v>
      </c>
      <c r="D74" s="5">
        <v>0.186</v>
      </c>
      <c r="E74" s="5">
        <v>18.600000000000001</v>
      </c>
      <c r="F74" s="5">
        <v>40.700000000000003</v>
      </c>
      <c r="G74" s="5">
        <v>757</v>
      </c>
      <c r="H74" s="5">
        <v>257</v>
      </c>
      <c r="I74" s="5">
        <v>91</v>
      </c>
      <c r="J74" s="5"/>
      <c r="K74" s="5">
        <v>408</v>
      </c>
      <c r="L74" s="5">
        <v>1</v>
      </c>
      <c r="M74" s="5"/>
      <c r="N74" s="5">
        <v>303</v>
      </c>
      <c r="O74" s="5">
        <v>303</v>
      </c>
      <c r="P74" s="5">
        <v>246</v>
      </c>
      <c r="Q74" s="5">
        <v>38</v>
      </c>
      <c r="R74" s="5">
        <v>18</v>
      </c>
      <c r="S74" s="5">
        <v>1</v>
      </c>
      <c r="T74" s="5"/>
    </row>
    <row r="75" spans="1:20" x14ac:dyDescent="0.2">
      <c r="A75" s="7">
        <v>3523602</v>
      </c>
      <c r="B75" s="2" t="s">
        <v>93</v>
      </c>
      <c r="C75" s="7">
        <v>2</v>
      </c>
      <c r="D75" s="7">
        <v>0.20300000000000001</v>
      </c>
      <c r="E75" s="7">
        <v>20.3</v>
      </c>
      <c r="F75" s="7">
        <v>37.299999999999997</v>
      </c>
      <c r="G75" s="7">
        <v>757</v>
      </c>
      <c r="H75" s="7">
        <v>321</v>
      </c>
      <c r="I75" s="7">
        <v>71</v>
      </c>
      <c r="J75" s="7"/>
      <c r="K75" s="7">
        <v>365</v>
      </c>
      <c r="L75" s="7"/>
      <c r="M75" s="7"/>
      <c r="N75" s="7">
        <v>314</v>
      </c>
      <c r="O75" s="7">
        <v>314</v>
      </c>
      <c r="P75" s="7">
        <v>265</v>
      </c>
      <c r="Q75" s="7">
        <v>35</v>
      </c>
      <c r="R75" s="7">
        <v>14</v>
      </c>
      <c r="S75" s="7"/>
      <c r="T75" s="7"/>
    </row>
    <row r="76" spans="1:20" x14ac:dyDescent="0.2">
      <c r="A76" s="5">
        <v>3507506</v>
      </c>
      <c r="B76" s="1" t="s">
        <v>94</v>
      </c>
      <c r="C76" s="5">
        <v>2</v>
      </c>
      <c r="D76" s="5">
        <v>0.11600000000000001</v>
      </c>
      <c r="E76" s="5">
        <v>11.6</v>
      </c>
      <c r="F76" s="5">
        <v>51.9</v>
      </c>
      <c r="G76" s="5">
        <v>602</v>
      </c>
      <c r="H76" s="5">
        <v>235</v>
      </c>
      <c r="I76" s="5">
        <v>52</v>
      </c>
      <c r="J76" s="5">
        <v>2</v>
      </c>
      <c r="K76" s="5">
        <v>313</v>
      </c>
      <c r="L76" s="5"/>
      <c r="M76" s="5"/>
      <c r="N76" s="5">
        <v>258</v>
      </c>
      <c r="O76" s="5">
        <v>258</v>
      </c>
      <c r="P76" s="5">
        <v>203</v>
      </c>
      <c r="Q76" s="5">
        <v>50</v>
      </c>
      <c r="R76" s="5">
        <v>5</v>
      </c>
      <c r="S76" s="5"/>
      <c r="T76" s="5"/>
    </row>
    <row r="77" spans="1:20" x14ac:dyDescent="0.2">
      <c r="A77" s="7">
        <v>3528403</v>
      </c>
      <c r="B77" s="2" t="s">
        <v>95</v>
      </c>
      <c r="C77" s="7">
        <v>2</v>
      </c>
      <c r="D77" s="7">
        <v>0.27600000000000002</v>
      </c>
      <c r="E77" s="7">
        <v>27.6</v>
      </c>
      <c r="F77" s="7">
        <v>20.7</v>
      </c>
      <c r="G77" s="7">
        <v>572</v>
      </c>
      <c r="H77" s="7">
        <v>156</v>
      </c>
      <c r="I77" s="7">
        <v>60</v>
      </c>
      <c r="J77" s="7">
        <v>3</v>
      </c>
      <c r="K77" s="7">
        <v>352</v>
      </c>
      <c r="L77" s="7">
        <v>1</v>
      </c>
      <c r="M77" s="7"/>
      <c r="N77" s="7">
        <v>210</v>
      </c>
      <c r="O77" s="7">
        <v>210</v>
      </c>
      <c r="P77" s="7">
        <v>179</v>
      </c>
      <c r="Q77" s="7">
        <v>28</v>
      </c>
      <c r="R77" s="7">
        <v>3</v>
      </c>
      <c r="S77" s="7"/>
      <c r="T77" s="7"/>
    </row>
    <row r="78" spans="1:20" x14ac:dyDescent="0.2">
      <c r="A78" s="5">
        <v>3522109</v>
      </c>
      <c r="B78" s="1" t="s">
        <v>96</v>
      </c>
      <c r="C78" s="5">
        <v>3</v>
      </c>
      <c r="D78" s="5">
        <v>0.127</v>
      </c>
      <c r="E78" s="5">
        <v>12.7</v>
      </c>
      <c r="F78" s="5">
        <v>43.6</v>
      </c>
      <c r="G78" s="5">
        <v>554</v>
      </c>
      <c r="H78" s="5">
        <v>214</v>
      </c>
      <c r="I78" s="5">
        <v>49</v>
      </c>
      <c r="J78" s="5"/>
      <c r="K78" s="5">
        <v>290</v>
      </c>
      <c r="L78" s="5">
        <v>1</v>
      </c>
      <c r="M78" s="5"/>
      <c r="N78" s="5">
        <v>279</v>
      </c>
      <c r="O78" s="5">
        <v>279</v>
      </c>
      <c r="P78" s="5">
        <v>192</v>
      </c>
      <c r="Q78" s="5">
        <v>24</v>
      </c>
      <c r="R78" s="5">
        <v>63</v>
      </c>
      <c r="S78" s="5"/>
      <c r="T78" s="5"/>
    </row>
    <row r="79" spans="1:20" x14ac:dyDescent="0.2">
      <c r="A79" s="7">
        <v>3543907</v>
      </c>
      <c r="B79" s="2" t="s">
        <v>97</v>
      </c>
      <c r="C79" s="7">
        <v>3</v>
      </c>
      <c r="D79" s="7">
        <v>0.21099999999999999</v>
      </c>
      <c r="E79" s="7">
        <v>21.1</v>
      </c>
      <c r="F79" s="7">
        <v>25.9</v>
      </c>
      <c r="G79" s="7">
        <v>546</v>
      </c>
      <c r="H79" s="7">
        <v>174</v>
      </c>
      <c r="I79" s="7">
        <v>76</v>
      </c>
      <c r="J79" s="7"/>
      <c r="K79" s="7">
        <v>296</v>
      </c>
      <c r="L79" s="7"/>
      <c r="M79" s="7"/>
      <c r="N79" s="7">
        <v>206</v>
      </c>
      <c r="O79" s="7">
        <v>206</v>
      </c>
      <c r="P79" s="7">
        <v>171</v>
      </c>
      <c r="Q79" s="7">
        <v>17</v>
      </c>
      <c r="R79" s="7">
        <v>4</v>
      </c>
      <c r="S79" s="7">
        <v>14</v>
      </c>
      <c r="T79" s="7"/>
    </row>
    <row r="80" spans="1:20" x14ac:dyDescent="0.2">
      <c r="A80" s="5">
        <v>3501608</v>
      </c>
      <c r="B80" s="1" t="s">
        <v>98</v>
      </c>
      <c r="C80" s="5">
        <v>1</v>
      </c>
      <c r="D80" s="5">
        <v>7.4999999999999997E-2</v>
      </c>
      <c r="E80" s="5">
        <v>7.5</v>
      </c>
      <c r="F80" s="5">
        <v>64.099999999999994</v>
      </c>
      <c r="G80" s="5">
        <v>481</v>
      </c>
      <c r="H80" s="5">
        <v>145</v>
      </c>
      <c r="I80" s="5">
        <v>60</v>
      </c>
      <c r="J80" s="5"/>
      <c r="K80" s="5">
        <v>276</v>
      </c>
      <c r="L80" s="5"/>
      <c r="M80" s="5"/>
      <c r="N80" s="5">
        <v>174</v>
      </c>
      <c r="O80" s="5">
        <v>174</v>
      </c>
      <c r="P80" s="5">
        <v>163</v>
      </c>
      <c r="Q80" s="5">
        <v>11</v>
      </c>
      <c r="R80" s="5"/>
      <c r="S80" s="5"/>
      <c r="T80" s="5"/>
    </row>
    <row r="81" spans="1:20" x14ac:dyDescent="0.2">
      <c r="A81" s="7">
        <v>3512407</v>
      </c>
      <c r="B81" s="2" t="s">
        <v>99</v>
      </c>
      <c r="C81" s="7">
        <v>2</v>
      </c>
      <c r="D81" s="7">
        <v>4.8000000000000001E-2</v>
      </c>
      <c r="E81" s="7">
        <v>4.8</v>
      </c>
      <c r="F81" s="7">
        <v>74.8</v>
      </c>
      <c r="G81" s="7">
        <v>359</v>
      </c>
      <c r="H81" s="7">
        <v>121</v>
      </c>
      <c r="I81" s="7">
        <v>80</v>
      </c>
      <c r="J81" s="7"/>
      <c r="K81" s="7">
        <v>158</v>
      </c>
      <c r="L81" s="7"/>
      <c r="M81" s="7"/>
      <c r="N81" s="7">
        <v>100</v>
      </c>
      <c r="O81" s="7">
        <v>100</v>
      </c>
      <c r="P81" s="7">
        <v>100</v>
      </c>
      <c r="Q81" s="7"/>
      <c r="R81" s="7"/>
      <c r="S81" s="7"/>
      <c r="T81" s="7"/>
    </row>
    <row r="82" spans="1:20" x14ac:dyDescent="0.2">
      <c r="A82" s="5">
        <v>3501905</v>
      </c>
      <c r="B82" s="1" t="s">
        <v>100</v>
      </c>
      <c r="C82" s="5">
        <v>1</v>
      </c>
      <c r="D82" s="5">
        <v>0.191</v>
      </c>
      <c r="E82" s="5">
        <v>19.100000000000001</v>
      </c>
      <c r="F82" s="5">
        <v>18.8</v>
      </c>
      <c r="G82" s="5">
        <v>359</v>
      </c>
      <c r="H82" s="5">
        <v>130</v>
      </c>
      <c r="I82" s="5">
        <v>46</v>
      </c>
      <c r="J82" s="5"/>
      <c r="K82" s="5">
        <v>183</v>
      </c>
      <c r="L82" s="5"/>
      <c r="M82" s="5"/>
      <c r="N82" s="5">
        <v>145</v>
      </c>
      <c r="O82" s="5">
        <v>144</v>
      </c>
      <c r="P82" s="5">
        <v>110</v>
      </c>
      <c r="Q82" s="5">
        <v>17</v>
      </c>
      <c r="R82" s="5">
        <v>17</v>
      </c>
      <c r="S82" s="5"/>
      <c r="T82" s="5">
        <v>1</v>
      </c>
    </row>
    <row r="83" spans="1:20" x14ac:dyDescent="0.2">
      <c r="A83" s="7">
        <v>3508504</v>
      </c>
      <c r="B83" s="2" t="s">
        <v>101</v>
      </c>
      <c r="C83" s="7">
        <v>1</v>
      </c>
      <c r="D83" s="7">
        <v>2.7E-2</v>
      </c>
      <c r="E83" s="7">
        <v>2.7</v>
      </c>
      <c r="F83" s="7">
        <v>127</v>
      </c>
      <c r="G83" s="7">
        <v>343</v>
      </c>
      <c r="H83" s="7">
        <v>110</v>
      </c>
      <c r="I83" s="7">
        <v>24</v>
      </c>
      <c r="J83" s="7"/>
      <c r="K83" s="7">
        <v>209</v>
      </c>
      <c r="L83" s="7"/>
      <c r="M83" s="7"/>
      <c r="N83" s="7">
        <v>126</v>
      </c>
      <c r="O83" s="7">
        <v>126</v>
      </c>
      <c r="P83" s="7">
        <v>104</v>
      </c>
      <c r="Q83" s="7">
        <v>21</v>
      </c>
      <c r="R83" s="7">
        <v>1</v>
      </c>
      <c r="S83" s="7"/>
      <c r="T83" s="7"/>
    </row>
    <row r="84" spans="1:20" x14ac:dyDescent="0.2">
      <c r="A84" s="5">
        <v>3545209</v>
      </c>
      <c r="B84" s="1" t="s">
        <v>102</v>
      </c>
      <c r="C84" s="5">
        <v>1</v>
      </c>
      <c r="D84" s="5">
        <v>1.2E-2</v>
      </c>
      <c r="E84" s="5">
        <v>1.2</v>
      </c>
      <c r="F84" s="5">
        <v>279.2</v>
      </c>
      <c r="G84" s="5">
        <v>335</v>
      </c>
      <c r="H84" s="5">
        <v>111</v>
      </c>
      <c r="I84" s="5">
        <v>53</v>
      </c>
      <c r="J84" s="5"/>
      <c r="K84" s="5">
        <v>169</v>
      </c>
      <c r="L84" s="5">
        <v>2</v>
      </c>
      <c r="M84" s="5"/>
      <c r="N84" s="5">
        <v>131</v>
      </c>
      <c r="O84" s="5">
        <v>131</v>
      </c>
      <c r="P84" s="5">
        <v>113</v>
      </c>
      <c r="Q84" s="5">
        <v>17</v>
      </c>
      <c r="R84" s="5">
        <v>1</v>
      </c>
      <c r="S84" s="5"/>
      <c r="T84" s="5"/>
    </row>
    <row r="85" spans="1:20" x14ac:dyDescent="0.2">
      <c r="A85" s="7">
        <v>3537602</v>
      </c>
      <c r="B85" s="2" t="s">
        <v>103</v>
      </c>
      <c r="C85" s="7">
        <v>1</v>
      </c>
      <c r="D85" s="7">
        <v>3.2000000000000001E-2</v>
      </c>
      <c r="E85" s="7">
        <v>3.2</v>
      </c>
      <c r="F85" s="7">
        <v>86.6</v>
      </c>
      <c r="G85" s="7">
        <v>277</v>
      </c>
      <c r="H85" s="7">
        <v>86</v>
      </c>
      <c r="I85" s="7">
        <v>30</v>
      </c>
      <c r="J85" s="7"/>
      <c r="K85" s="7">
        <v>161</v>
      </c>
      <c r="L85" s="7"/>
      <c r="M85" s="7"/>
      <c r="N85" s="7">
        <v>98</v>
      </c>
      <c r="O85" s="7">
        <v>98</v>
      </c>
      <c r="P85" s="7">
        <v>87</v>
      </c>
      <c r="Q85" s="7">
        <v>9</v>
      </c>
      <c r="R85" s="7">
        <v>2</v>
      </c>
      <c r="S85" s="7"/>
      <c r="T85" s="7"/>
    </row>
    <row r="86" spans="1:20" x14ac:dyDescent="0.2">
      <c r="A86" s="5">
        <v>3519501</v>
      </c>
      <c r="B86" s="1" t="s">
        <v>104</v>
      </c>
      <c r="C86" s="5">
        <v>1</v>
      </c>
      <c r="D86" s="5">
        <v>2.7E-2</v>
      </c>
      <c r="E86" s="5">
        <v>2.7</v>
      </c>
      <c r="F86" s="5">
        <v>99.3</v>
      </c>
      <c r="G86" s="5">
        <v>268</v>
      </c>
      <c r="H86" s="5">
        <v>114</v>
      </c>
      <c r="I86" s="5">
        <v>31</v>
      </c>
      <c r="J86" s="5"/>
      <c r="K86" s="5">
        <v>123</v>
      </c>
      <c r="L86" s="5"/>
      <c r="M86" s="5"/>
      <c r="N86" s="5">
        <v>107</v>
      </c>
      <c r="O86" s="5">
        <v>107</v>
      </c>
      <c r="P86" s="5">
        <v>87</v>
      </c>
      <c r="Q86" s="5">
        <v>18</v>
      </c>
      <c r="R86" s="5">
        <v>2</v>
      </c>
      <c r="S86" s="5"/>
      <c r="T86" s="5"/>
    </row>
    <row r="87" spans="1:20" x14ac:dyDescent="0.2">
      <c r="A87" s="7">
        <v>3527306</v>
      </c>
      <c r="B87" s="2" t="s">
        <v>105</v>
      </c>
      <c r="C87" s="7">
        <v>1</v>
      </c>
      <c r="D87" s="7">
        <v>1.0999999999999999E-2</v>
      </c>
      <c r="E87" s="7">
        <v>1.1000000000000001</v>
      </c>
      <c r="F87" s="7">
        <v>223.6</v>
      </c>
      <c r="G87" s="7">
        <v>246</v>
      </c>
      <c r="H87" s="7">
        <v>94</v>
      </c>
      <c r="I87" s="7">
        <v>13</v>
      </c>
      <c r="J87" s="7"/>
      <c r="K87" s="7">
        <v>139</v>
      </c>
      <c r="L87" s="7"/>
      <c r="M87" s="7"/>
      <c r="N87" s="7">
        <v>79</v>
      </c>
      <c r="O87" s="7">
        <v>79</v>
      </c>
      <c r="P87" s="7">
        <v>79</v>
      </c>
      <c r="Q87" s="7"/>
      <c r="R87" s="7"/>
      <c r="S87" s="7"/>
      <c r="T87" s="7"/>
    </row>
    <row r="88" spans="1:20" x14ac:dyDescent="0.2">
      <c r="A88" s="5">
        <v>3507605</v>
      </c>
      <c r="B88" s="1" t="s">
        <v>106</v>
      </c>
      <c r="C88" s="5">
        <v>1</v>
      </c>
      <c r="D88" s="5">
        <v>1.9E-2</v>
      </c>
      <c r="E88" s="5">
        <v>1.9</v>
      </c>
      <c r="F88" s="5">
        <v>117.4</v>
      </c>
      <c r="G88" s="5">
        <v>223</v>
      </c>
      <c r="H88" s="5">
        <v>95</v>
      </c>
      <c r="I88" s="5">
        <v>17</v>
      </c>
      <c r="J88" s="5"/>
      <c r="K88" s="5">
        <v>111</v>
      </c>
      <c r="L88" s="5"/>
      <c r="M88" s="5"/>
      <c r="N88" s="5">
        <v>90</v>
      </c>
      <c r="O88" s="5">
        <v>90</v>
      </c>
      <c r="P88" s="5">
        <v>83</v>
      </c>
      <c r="Q88" s="5">
        <v>1</v>
      </c>
      <c r="R88" s="5">
        <v>2</v>
      </c>
      <c r="S88" s="5">
        <v>4</v>
      </c>
      <c r="T88" s="5"/>
    </row>
    <row r="89" spans="1:20" x14ac:dyDescent="0.2">
      <c r="A89" s="7">
        <v>3504503</v>
      </c>
      <c r="B89" s="2" t="s">
        <v>107</v>
      </c>
      <c r="C89" s="7">
        <v>1</v>
      </c>
      <c r="D89" s="7">
        <v>5.5E-2</v>
      </c>
      <c r="E89" s="7">
        <v>5.5</v>
      </c>
      <c r="F89" s="7">
        <v>30.9</v>
      </c>
      <c r="G89" s="7">
        <v>170</v>
      </c>
      <c r="H89" s="7">
        <v>63</v>
      </c>
      <c r="I89" s="7">
        <v>12</v>
      </c>
      <c r="J89" s="7"/>
      <c r="K89" s="7">
        <v>95</v>
      </c>
      <c r="L89" s="7"/>
      <c r="M89" s="7"/>
      <c r="N89" s="7">
        <v>70</v>
      </c>
      <c r="O89" s="7">
        <v>70</v>
      </c>
      <c r="P89" s="7">
        <v>24</v>
      </c>
      <c r="Q89" s="7">
        <v>20</v>
      </c>
      <c r="R89" s="7">
        <v>1</v>
      </c>
      <c r="S89" s="7">
        <v>25</v>
      </c>
      <c r="T89" s="7"/>
    </row>
    <row r="90" spans="1:20" x14ac:dyDescent="0.2">
      <c r="A90" s="5">
        <v>3536703</v>
      </c>
      <c r="B90" s="1" t="s">
        <v>108</v>
      </c>
      <c r="C90" s="5">
        <v>1</v>
      </c>
      <c r="D90" s="5">
        <v>0.39600000000000002</v>
      </c>
      <c r="E90" s="5">
        <v>39.6</v>
      </c>
      <c r="F90" s="5">
        <v>4</v>
      </c>
      <c r="G90" s="5">
        <v>158</v>
      </c>
      <c r="H90" s="5">
        <v>76</v>
      </c>
      <c r="I90" s="5">
        <v>13</v>
      </c>
      <c r="J90" s="5">
        <v>1</v>
      </c>
      <c r="K90" s="5">
        <v>68</v>
      </c>
      <c r="L90" s="5"/>
      <c r="M90" s="5"/>
      <c r="N90" s="5">
        <v>101</v>
      </c>
      <c r="O90" s="5">
        <v>101</v>
      </c>
      <c r="P90" s="5">
        <v>58</v>
      </c>
      <c r="Q90" s="5">
        <v>10</v>
      </c>
      <c r="R90" s="5">
        <v>29</v>
      </c>
      <c r="S90" s="5">
        <v>4</v>
      </c>
      <c r="T90" s="5"/>
    </row>
    <row r="91" spans="1:20" x14ac:dyDescent="0.2">
      <c r="A91" s="7">
        <v>3552700</v>
      </c>
      <c r="B91" s="2" t="s">
        <v>109</v>
      </c>
      <c r="C91" s="7">
        <v>1</v>
      </c>
      <c r="D91" s="7">
        <v>1.4E-2</v>
      </c>
      <c r="E91" s="7">
        <v>1.4</v>
      </c>
      <c r="F91" s="7">
        <v>110</v>
      </c>
      <c r="G91" s="7">
        <v>154</v>
      </c>
      <c r="H91" s="7">
        <v>39</v>
      </c>
      <c r="I91" s="7">
        <v>12</v>
      </c>
      <c r="J91" s="7"/>
      <c r="K91" s="7">
        <v>103</v>
      </c>
      <c r="L91" s="7"/>
      <c r="M91" s="7"/>
      <c r="N91" s="7">
        <v>63</v>
      </c>
      <c r="O91" s="7">
        <v>63</v>
      </c>
      <c r="P91" s="7">
        <v>55</v>
      </c>
      <c r="Q91" s="7">
        <v>8</v>
      </c>
      <c r="R91" s="7"/>
      <c r="S91" s="7"/>
      <c r="T91" s="7"/>
    </row>
    <row r="92" spans="1:20" x14ac:dyDescent="0.2">
      <c r="A92" s="5">
        <v>3538006</v>
      </c>
      <c r="B92" s="1" t="s">
        <v>110</v>
      </c>
      <c r="C92" s="5">
        <v>1</v>
      </c>
      <c r="D92" s="5">
        <v>2.5000000000000001E-2</v>
      </c>
      <c r="E92" s="5">
        <v>2.5</v>
      </c>
      <c r="F92" s="5">
        <v>59.2</v>
      </c>
      <c r="G92" s="5">
        <v>148</v>
      </c>
      <c r="H92" s="5">
        <v>56</v>
      </c>
      <c r="I92" s="5">
        <v>29</v>
      </c>
      <c r="J92" s="5"/>
      <c r="K92" s="5">
        <v>63</v>
      </c>
      <c r="L92" s="5"/>
      <c r="M92" s="5"/>
      <c r="N92" s="5">
        <v>60</v>
      </c>
      <c r="O92" s="5">
        <v>60</v>
      </c>
      <c r="P92" s="5">
        <v>48</v>
      </c>
      <c r="Q92" s="5">
        <v>10</v>
      </c>
      <c r="R92" s="5">
        <v>2</v>
      </c>
      <c r="S92" s="5"/>
      <c r="T92" s="5"/>
    </row>
    <row r="93" spans="1:20" x14ac:dyDescent="0.2">
      <c r="A93" s="7">
        <v>3541307</v>
      </c>
      <c r="B93" s="2" t="s">
        <v>111</v>
      </c>
      <c r="C93" s="7">
        <v>1</v>
      </c>
      <c r="D93" s="7">
        <v>7.0999999999999994E-2</v>
      </c>
      <c r="E93" s="7">
        <v>7.1</v>
      </c>
      <c r="F93" s="7">
        <v>13.5</v>
      </c>
      <c r="G93" s="7">
        <v>96</v>
      </c>
      <c r="H93" s="7">
        <v>30</v>
      </c>
      <c r="I93" s="7">
        <v>5</v>
      </c>
      <c r="J93" s="7"/>
      <c r="K93" s="7">
        <v>61</v>
      </c>
      <c r="L93" s="7"/>
      <c r="M93" s="7"/>
      <c r="N93" s="7">
        <v>46</v>
      </c>
      <c r="O93" s="7">
        <v>45</v>
      </c>
      <c r="P93" s="7">
        <v>33</v>
      </c>
      <c r="Q93" s="7">
        <v>8</v>
      </c>
      <c r="R93" s="7">
        <v>3</v>
      </c>
      <c r="S93" s="7">
        <v>1</v>
      </c>
      <c r="T93" s="7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E2122-4E09-4A8E-8A06-CAD828D76760}">
  <dimension ref="A1:D93"/>
  <sheetViews>
    <sheetView workbookViewId="0">
      <selection activeCell="F7" sqref="F7"/>
    </sheetView>
  </sheetViews>
  <sheetFormatPr defaultRowHeight="15" x14ac:dyDescent="0.2"/>
  <cols>
    <col min="1" max="1" width="50.17578125" customWidth="1"/>
    <col min="3" max="3" width="34.16796875" customWidth="1"/>
    <col min="4" max="4" width="16.6796875" style="4" customWidth="1"/>
  </cols>
  <sheetData>
    <row r="1" spans="1:4" x14ac:dyDescent="0.2">
      <c r="A1" s="18" t="s">
        <v>143</v>
      </c>
      <c r="C1" s="3" t="s">
        <v>1</v>
      </c>
      <c r="D1" s="3" t="s">
        <v>10</v>
      </c>
    </row>
    <row r="2" spans="1:4" x14ac:dyDescent="0.2">
      <c r="A2" s="9" t="s">
        <v>111</v>
      </c>
      <c r="C2" s="1" t="s">
        <v>20</v>
      </c>
      <c r="D2" s="5">
        <v>899623</v>
      </c>
    </row>
    <row r="3" spans="1:4" x14ac:dyDescent="0.2">
      <c r="C3" s="2" t="s">
        <v>21</v>
      </c>
      <c r="D3" s="7">
        <v>116522</v>
      </c>
    </row>
    <row r="4" spans="1:4" x14ac:dyDescent="0.2">
      <c r="C4" s="1" t="s">
        <v>22</v>
      </c>
      <c r="D4" s="5">
        <v>78933</v>
      </c>
    </row>
    <row r="5" spans="1:4" x14ac:dyDescent="0.2">
      <c r="C5" s="2" t="s">
        <v>23</v>
      </c>
      <c r="D5" s="7">
        <v>75059</v>
      </c>
    </row>
    <row r="6" spans="1:4" x14ac:dyDescent="0.2">
      <c r="C6" s="1" t="s">
        <v>24</v>
      </c>
      <c r="D6" s="5">
        <v>58441</v>
      </c>
    </row>
    <row r="7" spans="1:4" x14ac:dyDescent="0.2">
      <c r="C7" s="2" t="s">
        <v>25</v>
      </c>
      <c r="D7" s="7">
        <v>59709</v>
      </c>
    </row>
    <row r="8" spans="1:4" x14ac:dyDescent="0.2">
      <c r="C8" s="1" t="s">
        <v>26</v>
      </c>
      <c r="D8" s="5">
        <v>49678</v>
      </c>
    </row>
    <row r="9" spans="1:4" x14ac:dyDescent="0.2">
      <c r="C9" s="2" t="s">
        <v>27</v>
      </c>
      <c r="D9" s="7">
        <v>52351</v>
      </c>
    </row>
    <row r="10" spans="1:4" x14ac:dyDescent="0.2">
      <c r="C10" s="1" t="s">
        <v>28</v>
      </c>
      <c r="D10" s="5">
        <v>49587</v>
      </c>
    </row>
    <row r="11" spans="1:4" x14ac:dyDescent="0.2">
      <c r="C11" s="2" t="s">
        <v>29</v>
      </c>
      <c r="D11" s="7">
        <v>44331</v>
      </c>
    </row>
    <row r="12" spans="1:4" x14ac:dyDescent="0.2">
      <c r="C12" s="1" t="s">
        <v>30</v>
      </c>
      <c r="D12" s="5">
        <v>44966</v>
      </c>
    </row>
    <row r="13" spans="1:4" x14ac:dyDescent="0.2">
      <c r="C13" s="2" t="s">
        <v>31</v>
      </c>
      <c r="D13" s="7">
        <v>31494</v>
      </c>
    </row>
    <row r="14" spans="1:4" x14ac:dyDescent="0.2">
      <c r="C14" s="1" t="s">
        <v>32</v>
      </c>
      <c r="D14" s="5">
        <v>28755</v>
      </c>
    </row>
    <row r="15" spans="1:4" x14ac:dyDescent="0.2">
      <c r="C15" s="2" t="s">
        <v>33</v>
      </c>
      <c r="D15" s="7">
        <v>21990</v>
      </c>
    </row>
    <row r="16" spans="1:4" x14ac:dyDescent="0.2">
      <c r="C16" s="1" t="s">
        <v>34</v>
      </c>
      <c r="D16" s="5">
        <v>21487</v>
      </c>
    </row>
    <row r="17" spans="3:4" x14ac:dyDescent="0.2">
      <c r="C17" s="2" t="s">
        <v>35</v>
      </c>
      <c r="D17" s="7">
        <v>20503</v>
      </c>
    </row>
    <row r="18" spans="3:4" x14ac:dyDescent="0.2">
      <c r="C18" s="1" t="s">
        <v>36</v>
      </c>
      <c r="D18" s="5">
        <v>15914</v>
      </c>
    </row>
    <row r="19" spans="3:4" x14ac:dyDescent="0.2">
      <c r="C19" s="2" t="s">
        <v>37</v>
      </c>
      <c r="D19" s="7">
        <v>13270</v>
      </c>
    </row>
    <row r="20" spans="3:4" x14ac:dyDescent="0.2">
      <c r="C20" s="1" t="s">
        <v>38</v>
      </c>
      <c r="D20" s="5">
        <v>13719</v>
      </c>
    </row>
    <row r="21" spans="3:4" x14ac:dyDescent="0.2">
      <c r="C21" s="2" t="s">
        <v>39</v>
      </c>
      <c r="D21" s="7">
        <v>11602</v>
      </c>
    </row>
    <row r="22" spans="3:4" x14ac:dyDescent="0.2">
      <c r="C22" s="1" t="s">
        <v>40</v>
      </c>
      <c r="D22" s="5">
        <v>11290</v>
      </c>
    </row>
    <row r="23" spans="3:4" x14ac:dyDescent="0.2">
      <c r="C23" s="2" t="s">
        <v>41</v>
      </c>
      <c r="D23" s="7">
        <v>11322</v>
      </c>
    </row>
    <row r="24" spans="3:4" x14ac:dyDescent="0.2">
      <c r="C24" s="1" t="s">
        <v>42</v>
      </c>
      <c r="D24" s="5">
        <v>8878</v>
      </c>
    </row>
    <row r="25" spans="3:4" x14ac:dyDescent="0.2">
      <c r="C25" s="2" t="s">
        <v>43</v>
      </c>
      <c r="D25" s="7">
        <v>9105</v>
      </c>
    </row>
    <row r="26" spans="3:4" x14ac:dyDescent="0.2">
      <c r="C26" s="1" t="s">
        <v>44</v>
      </c>
      <c r="D26" s="5">
        <v>9296</v>
      </c>
    </row>
    <row r="27" spans="3:4" x14ac:dyDescent="0.2">
      <c r="C27" s="2" t="s">
        <v>45</v>
      </c>
      <c r="D27" s="7">
        <v>8036</v>
      </c>
    </row>
    <row r="28" spans="3:4" x14ac:dyDescent="0.2">
      <c r="C28" s="1" t="s">
        <v>46</v>
      </c>
      <c r="D28" s="5">
        <v>7803</v>
      </c>
    </row>
    <row r="29" spans="3:4" x14ac:dyDescent="0.2">
      <c r="C29" s="2" t="s">
        <v>47</v>
      </c>
      <c r="D29" s="7">
        <v>7739</v>
      </c>
    </row>
    <row r="30" spans="3:4" x14ac:dyDescent="0.2">
      <c r="C30" s="1" t="s">
        <v>48</v>
      </c>
      <c r="D30" s="5">
        <v>7042</v>
      </c>
    </row>
    <row r="31" spans="3:4" x14ac:dyDescent="0.2">
      <c r="C31" s="2" t="s">
        <v>49</v>
      </c>
      <c r="D31" s="7">
        <v>8909</v>
      </c>
    </row>
    <row r="32" spans="3:4" x14ac:dyDescent="0.2">
      <c r="C32" s="1" t="s">
        <v>50</v>
      </c>
      <c r="D32" s="5">
        <v>5457</v>
      </c>
    </row>
    <row r="33" spans="3:4" x14ac:dyDescent="0.2">
      <c r="C33" s="2" t="s">
        <v>51</v>
      </c>
      <c r="D33" s="7">
        <v>6044</v>
      </c>
    </row>
    <row r="34" spans="3:4" x14ac:dyDescent="0.2">
      <c r="C34" s="1" t="s">
        <v>52</v>
      </c>
      <c r="D34" s="5">
        <v>5968</v>
      </c>
    </row>
    <row r="35" spans="3:4" x14ac:dyDescent="0.2">
      <c r="C35" s="2" t="s">
        <v>53</v>
      </c>
      <c r="D35" s="7">
        <v>5426</v>
      </c>
    </row>
    <row r="36" spans="3:4" x14ac:dyDescent="0.2">
      <c r="C36" s="1" t="s">
        <v>54</v>
      </c>
      <c r="D36" s="5">
        <v>6010</v>
      </c>
    </row>
    <row r="37" spans="3:4" x14ac:dyDescent="0.2">
      <c r="C37" s="2" t="s">
        <v>55</v>
      </c>
      <c r="D37" s="7">
        <v>2629</v>
      </c>
    </row>
    <row r="38" spans="3:4" x14ac:dyDescent="0.2">
      <c r="C38" s="1" t="s">
        <v>56</v>
      </c>
      <c r="D38" s="5">
        <v>4689</v>
      </c>
    </row>
    <row r="39" spans="3:4" x14ac:dyDescent="0.2">
      <c r="C39" s="2" t="s">
        <v>57</v>
      </c>
      <c r="D39" s="7">
        <v>3696</v>
      </c>
    </row>
    <row r="40" spans="3:4" x14ac:dyDescent="0.2">
      <c r="C40" s="1" t="s">
        <v>58</v>
      </c>
      <c r="D40" s="5">
        <v>3475</v>
      </c>
    </row>
    <row r="41" spans="3:4" x14ac:dyDescent="0.2">
      <c r="C41" s="2" t="s">
        <v>59</v>
      </c>
      <c r="D41" s="7">
        <v>3174</v>
      </c>
    </row>
    <row r="42" spans="3:4" x14ac:dyDescent="0.2">
      <c r="C42" s="1" t="s">
        <v>60</v>
      </c>
      <c r="D42" s="5">
        <v>2936</v>
      </c>
    </row>
    <row r="43" spans="3:4" x14ac:dyDescent="0.2">
      <c r="C43" s="2" t="s">
        <v>61</v>
      </c>
      <c r="D43" s="7">
        <v>3242</v>
      </c>
    </row>
    <row r="44" spans="3:4" x14ac:dyDescent="0.2">
      <c r="C44" s="1" t="s">
        <v>62</v>
      </c>
      <c r="D44" s="5">
        <v>2622</v>
      </c>
    </row>
    <row r="45" spans="3:4" x14ac:dyDescent="0.2">
      <c r="C45" s="2" t="s">
        <v>63</v>
      </c>
      <c r="D45" s="7">
        <v>2371</v>
      </c>
    </row>
    <row r="46" spans="3:4" x14ac:dyDescent="0.2">
      <c r="C46" s="1" t="s">
        <v>64</v>
      </c>
      <c r="D46" s="5">
        <v>2550</v>
      </c>
    </row>
    <row r="47" spans="3:4" x14ac:dyDescent="0.2">
      <c r="C47" s="2" t="s">
        <v>65</v>
      </c>
      <c r="D47" s="7">
        <v>2575</v>
      </c>
    </row>
    <row r="48" spans="3:4" x14ac:dyDescent="0.2">
      <c r="C48" s="1" t="s">
        <v>66</v>
      </c>
      <c r="D48" s="5">
        <v>2371</v>
      </c>
    </row>
    <row r="49" spans="3:4" x14ac:dyDescent="0.2">
      <c r="C49" s="2" t="s">
        <v>67</v>
      </c>
      <c r="D49" s="7">
        <v>2471</v>
      </c>
    </row>
    <row r="50" spans="3:4" x14ac:dyDescent="0.2">
      <c r="C50" s="1" t="s">
        <v>68</v>
      </c>
      <c r="D50" s="5">
        <v>2422</v>
      </c>
    </row>
    <row r="51" spans="3:4" x14ac:dyDescent="0.2">
      <c r="C51" s="2" t="s">
        <v>69</v>
      </c>
      <c r="D51" s="7">
        <v>2247</v>
      </c>
    </row>
    <row r="52" spans="3:4" x14ac:dyDescent="0.2">
      <c r="C52" s="1" t="s">
        <v>70</v>
      </c>
      <c r="D52" s="5">
        <v>1716</v>
      </c>
    </row>
    <row r="53" spans="3:4" x14ac:dyDescent="0.2">
      <c r="C53" s="2" t="s">
        <v>71</v>
      </c>
      <c r="D53" s="7">
        <v>1697</v>
      </c>
    </row>
    <row r="54" spans="3:4" x14ac:dyDescent="0.2">
      <c r="C54" s="1" t="s">
        <v>72</v>
      </c>
      <c r="D54" s="5">
        <v>1686</v>
      </c>
    </row>
    <row r="55" spans="3:4" x14ac:dyDescent="0.2">
      <c r="C55" s="2" t="s">
        <v>73</v>
      </c>
      <c r="D55" s="7">
        <v>1636</v>
      </c>
    </row>
    <row r="56" spans="3:4" x14ac:dyDescent="0.2">
      <c r="C56" s="1" t="s">
        <v>74</v>
      </c>
      <c r="D56" s="5">
        <v>1628</v>
      </c>
    </row>
    <row r="57" spans="3:4" x14ac:dyDescent="0.2">
      <c r="C57" s="2" t="s">
        <v>75</v>
      </c>
      <c r="D57" s="7">
        <v>1223</v>
      </c>
    </row>
    <row r="58" spans="3:4" x14ac:dyDescent="0.2">
      <c r="C58" s="1" t="s">
        <v>76</v>
      </c>
      <c r="D58" s="5">
        <v>1205</v>
      </c>
    </row>
    <row r="59" spans="3:4" x14ac:dyDescent="0.2">
      <c r="C59" s="2" t="s">
        <v>77</v>
      </c>
      <c r="D59" s="7">
        <v>1181</v>
      </c>
    </row>
    <row r="60" spans="3:4" x14ac:dyDescent="0.2">
      <c r="C60" s="1" t="s">
        <v>78</v>
      </c>
      <c r="D60" s="5">
        <v>1055</v>
      </c>
    </row>
    <row r="61" spans="3:4" x14ac:dyDescent="0.2">
      <c r="C61" s="2" t="s">
        <v>79</v>
      </c>
      <c r="D61" s="7">
        <v>933</v>
      </c>
    </row>
    <row r="62" spans="3:4" x14ac:dyDescent="0.2">
      <c r="C62" s="1" t="s">
        <v>80</v>
      </c>
      <c r="D62" s="5">
        <v>746</v>
      </c>
    </row>
    <row r="63" spans="3:4" x14ac:dyDescent="0.2">
      <c r="C63" s="2" t="s">
        <v>81</v>
      </c>
      <c r="D63" s="7">
        <v>758</v>
      </c>
    </row>
    <row r="64" spans="3:4" x14ac:dyDescent="0.2">
      <c r="C64" s="1" t="s">
        <v>82</v>
      </c>
      <c r="D64" s="5">
        <v>491</v>
      </c>
    </row>
    <row r="65" spans="3:4" x14ac:dyDescent="0.2">
      <c r="C65" s="2" t="s">
        <v>83</v>
      </c>
      <c r="D65" s="7">
        <v>794</v>
      </c>
    </row>
    <row r="66" spans="3:4" x14ac:dyDescent="0.2">
      <c r="C66" s="1" t="s">
        <v>84</v>
      </c>
      <c r="D66" s="5">
        <v>495</v>
      </c>
    </row>
    <row r="67" spans="3:4" x14ac:dyDescent="0.2">
      <c r="C67" s="2" t="s">
        <v>85</v>
      </c>
      <c r="D67" s="7">
        <v>513</v>
      </c>
    </row>
    <row r="68" spans="3:4" x14ac:dyDescent="0.2">
      <c r="C68" s="1" t="s">
        <v>86</v>
      </c>
      <c r="D68" s="5">
        <v>470</v>
      </c>
    </row>
    <row r="69" spans="3:4" x14ac:dyDescent="0.2">
      <c r="C69" s="2" t="s">
        <v>87</v>
      </c>
      <c r="D69" s="7">
        <v>435</v>
      </c>
    </row>
    <row r="70" spans="3:4" x14ac:dyDescent="0.2">
      <c r="C70" s="1" t="s">
        <v>88</v>
      </c>
      <c r="D70" s="5">
        <v>498</v>
      </c>
    </row>
    <row r="71" spans="3:4" x14ac:dyDescent="0.2">
      <c r="C71" s="2" t="s">
        <v>89</v>
      </c>
      <c r="D71" s="7">
        <v>540</v>
      </c>
    </row>
    <row r="72" spans="3:4" x14ac:dyDescent="0.2">
      <c r="C72" s="1" t="s">
        <v>90</v>
      </c>
      <c r="D72" s="5">
        <v>405</v>
      </c>
    </row>
    <row r="73" spans="3:4" x14ac:dyDescent="0.2">
      <c r="C73" s="2" t="s">
        <v>91</v>
      </c>
      <c r="D73" s="7">
        <v>472</v>
      </c>
    </row>
    <row r="74" spans="3:4" x14ac:dyDescent="0.2">
      <c r="C74" s="1" t="s">
        <v>92</v>
      </c>
      <c r="D74" s="5">
        <v>408</v>
      </c>
    </row>
    <row r="75" spans="3:4" x14ac:dyDescent="0.2">
      <c r="C75" s="2" t="s">
        <v>93</v>
      </c>
      <c r="D75" s="7">
        <v>365</v>
      </c>
    </row>
    <row r="76" spans="3:4" x14ac:dyDescent="0.2">
      <c r="C76" s="1" t="s">
        <v>94</v>
      </c>
      <c r="D76" s="5">
        <v>313</v>
      </c>
    </row>
    <row r="77" spans="3:4" x14ac:dyDescent="0.2">
      <c r="C77" s="2" t="s">
        <v>95</v>
      </c>
      <c r="D77" s="7">
        <v>352</v>
      </c>
    </row>
    <row r="78" spans="3:4" x14ac:dyDescent="0.2">
      <c r="C78" s="1" t="s">
        <v>96</v>
      </c>
      <c r="D78" s="5">
        <v>290</v>
      </c>
    </row>
    <row r="79" spans="3:4" x14ac:dyDescent="0.2">
      <c r="C79" s="2" t="s">
        <v>97</v>
      </c>
      <c r="D79" s="7">
        <v>296</v>
      </c>
    </row>
    <row r="80" spans="3:4" x14ac:dyDescent="0.2">
      <c r="C80" s="1" t="s">
        <v>98</v>
      </c>
      <c r="D80" s="5">
        <v>276</v>
      </c>
    </row>
    <row r="81" spans="3:4" x14ac:dyDescent="0.2">
      <c r="C81" s="2" t="s">
        <v>99</v>
      </c>
      <c r="D81" s="7">
        <v>158</v>
      </c>
    </row>
    <row r="82" spans="3:4" x14ac:dyDescent="0.2">
      <c r="C82" s="1" t="s">
        <v>100</v>
      </c>
      <c r="D82" s="5">
        <v>183</v>
      </c>
    </row>
    <row r="83" spans="3:4" x14ac:dyDescent="0.2">
      <c r="C83" s="2" t="s">
        <v>101</v>
      </c>
      <c r="D83" s="7">
        <v>209</v>
      </c>
    </row>
    <row r="84" spans="3:4" x14ac:dyDescent="0.2">
      <c r="C84" s="1" t="s">
        <v>102</v>
      </c>
      <c r="D84" s="5">
        <v>169</v>
      </c>
    </row>
    <row r="85" spans="3:4" x14ac:dyDescent="0.2">
      <c r="C85" s="2" t="s">
        <v>103</v>
      </c>
      <c r="D85" s="7">
        <v>161</v>
      </c>
    </row>
    <row r="86" spans="3:4" x14ac:dyDescent="0.2">
      <c r="C86" s="1" t="s">
        <v>104</v>
      </c>
      <c r="D86" s="5">
        <v>123</v>
      </c>
    </row>
    <row r="87" spans="3:4" x14ac:dyDescent="0.2">
      <c r="C87" s="2" t="s">
        <v>105</v>
      </c>
      <c r="D87" s="7">
        <v>139</v>
      </c>
    </row>
    <row r="88" spans="3:4" x14ac:dyDescent="0.2">
      <c r="C88" s="1" t="s">
        <v>106</v>
      </c>
      <c r="D88" s="5">
        <v>111</v>
      </c>
    </row>
    <row r="89" spans="3:4" x14ac:dyDescent="0.2">
      <c r="C89" s="2" t="s">
        <v>107</v>
      </c>
      <c r="D89" s="7">
        <v>95</v>
      </c>
    </row>
    <row r="90" spans="3:4" x14ac:dyDescent="0.2">
      <c r="C90" s="1" t="s">
        <v>108</v>
      </c>
      <c r="D90" s="5">
        <v>68</v>
      </c>
    </row>
    <row r="91" spans="3:4" x14ac:dyDescent="0.2">
      <c r="C91" s="2" t="s">
        <v>109</v>
      </c>
      <c r="D91" s="7">
        <v>103</v>
      </c>
    </row>
    <row r="92" spans="3:4" x14ac:dyDescent="0.2">
      <c r="C92" s="1" t="s">
        <v>110</v>
      </c>
      <c r="D92" s="5">
        <v>63</v>
      </c>
    </row>
    <row r="93" spans="3:4" x14ac:dyDescent="0.2">
      <c r="C93" s="2" t="s">
        <v>111</v>
      </c>
      <c r="D93" s="7">
        <v>61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DE65E-F619-4E8D-8F4D-8EC2F9B57F97}">
  <dimension ref="A1:D93"/>
  <sheetViews>
    <sheetView workbookViewId="0">
      <selection activeCell="A2" sqref="A2"/>
    </sheetView>
  </sheetViews>
  <sheetFormatPr defaultRowHeight="15" x14ac:dyDescent="0.2"/>
  <cols>
    <col min="1" max="1" width="54.078125" style="4" customWidth="1"/>
    <col min="3" max="3" width="34.16796875" customWidth="1"/>
    <col min="4" max="4" width="13.71875" style="4" customWidth="1"/>
  </cols>
  <sheetData>
    <row r="1" spans="1:4" x14ac:dyDescent="0.2">
      <c r="A1" s="18" t="s">
        <v>142</v>
      </c>
      <c r="C1" s="3" t="s">
        <v>1</v>
      </c>
      <c r="D1" s="3" t="s">
        <v>11</v>
      </c>
    </row>
    <row r="2" spans="1:4" x14ac:dyDescent="0.2">
      <c r="A2" s="9" t="s">
        <v>20</v>
      </c>
      <c r="C2" s="1" t="s">
        <v>20</v>
      </c>
      <c r="D2" s="5">
        <v>2161</v>
      </c>
    </row>
    <row r="3" spans="1:4" x14ac:dyDescent="0.2">
      <c r="C3" s="2" t="s">
        <v>21</v>
      </c>
      <c r="D3" s="7">
        <v>265</v>
      </c>
    </row>
    <row r="4" spans="1:4" x14ac:dyDescent="0.2">
      <c r="C4" s="1" t="s">
        <v>22</v>
      </c>
      <c r="D4" s="5">
        <v>219</v>
      </c>
    </row>
    <row r="5" spans="1:4" x14ac:dyDescent="0.2">
      <c r="C5" s="2" t="s">
        <v>23</v>
      </c>
      <c r="D5" s="7">
        <v>229</v>
      </c>
    </row>
    <row r="6" spans="1:4" x14ac:dyDescent="0.2">
      <c r="C6" s="1" t="s">
        <v>24</v>
      </c>
      <c r="D6" s="5">
        <v>116</v>
      </c>
    </row>
    <row r="7" spans="1:4" x14ac:dyDescent="0.2">
      <c r="C7" s="2" t="s">
        <v>25</v>
      </c>
      <c r="D7" s="7">
        <v>194</v>
      </c>
    </row>
    <row r="8" spans="1:4" x14ac:dyDescent="0.2">
      <c r="C8" s="1" t="s">
        <v>26</v>
      </c>
      <c r="D8" s="5">
        <v>104</v>
      </c>
    </row>
    <row r="9" spans="1:4" x14ac:dyDescent="0.2">
      <c r="C9" s="2" t="s">
        <v>27</v>
      </c>
      <c r="D9" s="7">
        <v>90</v>
      </c>
    </row>
    <row r="10" spans="1:4" x14ac:dyDescent="0.2">
      <c r="C10" s="1" t="s">
        <v>28</v>
      </c>
      <c r="D10" s="5">
        <v>165</v>
      </c>
    </row>
    <row r="11" spans="1:4" x14ac:dyDescent="0.2">
      <c r="C11" s="2" t="s">
        <v>29</v>
      </c>
      <c r="D11" s="7">
        <v>43</v>
      </c>
    </row>
    <row r="12" spans="1:4" x14ac:dyDescent="0.2">
      <c r="C12" s="1" t="s">
        <v>30</v>
      </c>
      <c r="D12" s="5">
        <v>91</v>
      </c>
    </row>
    <row r="13" spans="1:4" x14ac:dyDescent="0.2">
      <c r="C13" s="2" t="s">
        <v>31</v>
      </c>
      <c r="D13" s="7">
        <v>61</v>
      </c>
    </row>
    <row r="14" spans="1:4" x14ac:dyDescent="0.2">
      <c r="C14" s="1" t="s">
        <v>32</v>
      </c>
      <c r="D14" s="5">
        <v>50</v>
      </c>
    </row>
    <row r="15" spans="1:4" x14ac:dyDescent="0.2">
      <c r="C15" s="2" t="s">
        <v>33</v>
      </c>
      <c r="D15" s="7">
        <v>41</v>
      </c>
    </row>
    <row r="16" spans="1:4" x14ac:dyDescent="0.2">
      <c r="C16" s="1" t="s">
        <v>34</v>
      </c>
      <c r="D16" s="5">
        <v>45</v>
      </c>
    </row>
    <row r="17" spans="3:4" x14ac:dyDescent="0.2">
      <c r="C17" s="2" t="s">
        <v>35</v>
      </c>
      <c r="D17" s="7">
        <v>34</v>
      </c>
    </row>
    <row r="18" spans="3:4" x14ac:dyDescent="0.2">
      <c r="C18" s="1" t="s">
        <v>36</v>
      </c>
      <c r="D18" s="5">
        <v>45</v>
      </c>
    </row>
    <row r="19" spans="3:4" x14ac:dyDescent="0.2">
      <c r="C19" s="2" t="s">
        <v>37</v>
      </c>
      <c r="D19" s="7">
        <v>37</v>
      </c>
    </row>
    <row r="20" spans="3:4" x14ac:dyDescent="0.2">
      <c r="C20" s="1" t="s">
        <v>38</v>
      </c>
      <c r="D20" s="5">
        <v>26</v>
      </c>
    </row>
    <row r="21" spans="3:4" x14ac:dyDescent="0.2">
      <c r="C21" s="2" t="s">
        <v>39</v>
      </c>
      <c r="D21" s="7">
        <v>27</v>
      </c>
    </row>
    <row r="22" spans="3:4" x14ac:dyDescent="0.2">
      <c r="C22" s="1" t="s">
        <v>40</v>
      </c>
      <c r="D22" s="5">
        <v>10</v>
      </c>
    </row>
    <row r="23" spans="3:4" x14ac:dyDescent="0.2">
      <c r="C23" s="2" t="s">
        <v>41</v>
      </c>
      <c r="D23" s="7">
        <v>31</v>
      </c>
    </row>
    <row r="24" spans="3:4" x14ac:dyDescent="0.2">
      <c r="C24" s="1" t="s">
        <v>42</v>
      </c>
      <c r="D24" s="5">
        <v>23</v>
      </c>
    </row>
    <row r="25" spans="3:4" x14ac:dyDescent="0.2">
      <c r="C25" s="2" t="s">
        <v>43</v>
      </c>
      <c r="D25" s="7">
        <v>35</v>
      </c>
    </row>
    <row r="26" spans="3:4" x14ac:dyDescent="0.2">
      <c r="C26" s="1" t="s">
        <v>44</v>
      </c>
      <c r="D26" s="5">
        <v>74</v>
      </c>
    </row>
    <row r="27" spans="3:4" x14ac:dyDescent="0.2">
      <c r="C27" s="2" t="s">
        <v>45</v>
      </c>
      <c r="D27" s="7">
        <v>58</v>
      </c>
    </row>
    <row r="28" spans="3:4" x14ac:dyDescent="0.2">
      <c r="C28" s="1" t="s">
        <v>46</v>
      </c>
      <c r="D28" s="5">
        <v>3</v>
      </c>
    </row>
    <row r="29" spans="3:4" x14ac:dyDescent="0.2">
      <c r="C29" s="2" t="s">
        <v>47</v>
      </c>
      <c r="D29" s="7">
        <v>14</v>
      </c>
    </row>
    <row r="30" spans="3:4" x14ac:dyDescent="0.2">
      <c r="C30" s="1" t="s">
        <v>48</v>
      </c>
      <c r="D30" s="5">
        <v>26</v>
      </c>
    </row>
    <row r="31" spans="3:4" x14ac:dyDescent="0.2">
      <c r="C31" s="2" t="s">
        <v>49</v>
      </c>
      <c r="D31" s="7">
        <v>7</v>
      </c>
    </row>
    <row r="32" spans="3:4" x14ac:dyDescent="0.2">
      <c r="C32" s="1" t="s">
        <v>50</v>
      </c>
      <c r="D32" s="5">
        <v>6</v>
      </c>
    </row>
    <row r="33" spans="3:4" x14ac:dyDescent="0.2">
      <c r="C33" s="2" t="s">
        <v>51</v>
      </c>
      <c r="D33" s="7">
        <v>15</v>
      </c>
    </row>
    <row r="34" spans="3:4" x14ac:dyDescent="0.2">
      <c r="C34" s="1" t="s">
        <v>52</v>
      </c>
      <c r="D34" s="5">
        <v>14</v>
      </c>
    </row>
    <row r="35" spans="3:4" x14ac:dyDescent="0.2">
      <c r="C35" s="2" t="s">
        <v>53</v>
      </c>
      <c r="D35" s="7">
        <v>17</v>
      </c>
    </row>
    <row r="36" spans="3:4" x14ac:dyDescent="0.2">
      <c r="C36" s="1" t="s">
        <v>54</v>
      </c>
      <c r="D36" s="5">
        <v>5</v>
      </c>
    </row>
    <row r="37" spans="3:4" x14ac:dyDescent="0.2">
      <c r="C37" s="2" t="s">
        <v>55</v>
      </c>
      <c r="D37" s="7">
        <v>7</v>
      </c>
    </row>
    <row r="38" spans="3:4" x14ac:dyDescent="0.2">
      <c r="C38" s="1" t="s">
        <v>56</v>
      </c>
      <c r="D38" s="5">
        <v>3</v>
      </c>
    </row>
    <row r="39" spans="3:4" x14ac:dyDescent="0.2">
      <c r="C39" s="2" t="s">
        <v>57</v>
      </c>
      <c r="D39" s="7">
        <v>24</v>
      </c>
    </row>
    <row r="40" spans="3:4" x14ac:dyDescent="0.2">
      <c r="C40" s="1" t="s">
        <v>58</v>
      </c>
      <c r="D40" s="5">
        <v>58</v>
      </c>
    </row>
    <row r="41" spans="3:4" x14ac:dyDescent="0.2">
      <c r="C41" s="2" t="s">
        <v>59</v>
      </c>
      <c r="D41" s="7">
        <v>10</v>
      </c>
    </row>
    <row r="42" spans="3:4" x14ac:dyDescent="0.2">
      <c r="C42" s="1" t="s">
        <v>60</v>
      </c>
      <c r="D42" s="5">
        <v>5</v>
      </c>
    </row>
    <row r="43" spans="3:4" x14ac:dyDescent="0.2">
      <c r="C43" s="2" t="s">
        <v>61</v>
      </c>
      <c r="D43" s="7">
        <v>8</v>
      </c>
    </row>
    <row r="44" spans="3:4" x14ac:dyDescent="0.2">
      <c r="C44" s="1" t="s">
        <v>62</v>
      </c>
      <c r="D44" s="5">
        <v>17</v>
      </c>
    </row>
    <row r="45" spans="3:4" x14ac:dyDescent="0.2">
      <c r="C45" s="2" t="s">
        <v>63</v>
      </c>
      <c r="D45" s="7">
        <v>7</v>
      </c>
    </row>
    <row r="46" spans="3:4" x14ac:dyDescent="0.2">
      <c r="C46" s="1" t="s">
        <v>64</v>
      </c>
      <c r="D46" s="5">
        <v>11</v>
      </c>
    </row>
    <row r="47" spans="3:4" x14ac:dyDescent="0.2">
      <c r="C47" s="2" t="s">
        <v>65</v>
      </c>
      <c r="D47" s="7"/>
    </row>
    <row r="48" spans="3:4" x14ac:dyDescent="0.2">
      <c r="C48" s="1" t="s">
        <v>66</v>
      </c>
      <c r="D48" s="5">
        <v>5</v>
      </c>
    </row>
    <row r="49" spans="3:4" x14ac:dyDescent="0.2">
      <c r="C49" s="2" t="s">
        <v>67</v>
      </c>
      <c r="D49" s="7">
        <v>1</v>
      </c>
    </row>
    <row r="50" spans="3:4" x14ac:dyDescent="0.2">
      <c r="C50" s="1" t="s">
        <v>68</v>
      </c>
      <c r="D50" s="5">
        <v>10</v>
      </c>
    </row>
    <row r="51" spans="3:4" x14ac:dyDescent="0.2">
      <c r="C51" s="2" t="s">
        <v>69</v>
      </c>
      <c r="D51" s="7">
        <v>3</v>
      </c>
    </row>
    <row r="52" spans="3:4" x14ac:dyDescent="0.2">
      <c r="C52" s="1" t="s">
        <v>70</v>
      </c>
      <c r="D52" s="5">
        <v>4</v>
      </c>
    </row>
    <row r="53" spans="3:4" x14ac:dyDescent="0.2">
      <c r="C53" s="2" t="s">
        <v>71</v>
      </c>
      <c r="D53" s="7">
        <v>1</v>
      </c>
    </row>
    <row r="54" spans="3:4" x14ac:dyDescent="0.2">
      <c r="C54" s="1" t="s">
        <v>72</v>
      </c>
      <c r="D54" s="5"/>
    </row>
    <row r="55" spans="3:4" x14ac:dyDescent="0.2">
      <c r="C55" s="2" t="s">
        <v>73</v>
      </c>
      <c r="D55" s="7">
        <v>10</v>
      </c>
    </row>
    <row r="56" spans="3:4" x14ac:dyDescent="0.2">
      <c r="C56" s="1" t="s">
        <v>74</v>
      </c>
      <c r="D56" s="5">
        <v>16</v>
      </c>
    </row>
    <row r="57" spans="3:4" x14ac:dyDescent="0.2">
      <c r="C57" s="2" t="s">
        <v>75</v>
      </c>
      <c r="D57" s="7">
        <v>2</v>
      </c>
    </row>
    <row r="58" spans="3:4" x14ac:dyDescent="0.2">
      <c r="C58" s="1" t="s">
        <v>76</v>
      </c>
      <c r="D58" s="5"/>
    </row>
    <row r="59" spans="3:4" x14ac:dyDescent="0.2">
      <c r="C59" s="2" t="s">
        <v>77</v>
      </c>
      <c r="D59" s="7">
        <v>5</v>
      </c>
    </row>
    <row r="60" spans="3:4" x14ac:dyDescent="0.2">
      <c r="C60" s="1" t="s">
        <v>78</v>
      </c>
      <c r="D60" s="5">
        <v>4</v>
      </c>
    </row>
    <row r="61" spans="3:4" x14ac:dyDescent="0.2">
      <c r="C61" s="2" t="s">
        <v>79</v>
      </c>
      <c r="D61" s="7"/>
    </row>
    <row r="62" spans="3:4" x14ac:dyDescent="0.2">
      <c r="C62" s="1" t="s">
        <v>80</v>
      </c>
      <c r="D62" s="5"/>
    </row>
    <row r="63" spans="3:4" x14ac:dyDescent="0.2">
      <c r="C63" s="2" t="s">
        <v>81</v>
      </c>
      <c r="D63" s="7"/>
    </row>
    <row r="64" spans="3:4" x14ac:dyDescent="0.2">
      <c r="C64" s="1" t="s">
        <v>82</v>
      </c>
      <c r="D64" s="5">
        <v>9</v>
      </c>
    </row>
    <row r="65" spans="3:4" x14ac:dyDescent="0.2">
      <c r="C65" s="2" t="s">
        <v>83</v>
      </c>
      <c r="D65" s="7"/>
    </row>
    <row r="66" spans="3:4" x14ac:dyDescent="0.2">
      <c r="C66" s="1" t="s">
        <v>84</v>
      </c>
      <c r="D66" s="5"/>
    </row>
    <row r="67" spans="3:4" x14ac:dyDescent="0.2">
      <c r="C67" s="2" t="s">
        <v>85</v>
      </c>
      <c r="D67" s="7"/>
    </row>
    <row r="68" spans="3:4" x14ac:dyDescent="0.2">
      <c r="C68" s="1" t="s">
        <v>86</v>
      </c>
      <c r="D68" s="5"/>
    </row>
    <row r="69" spans="3:4" x14ac:dyDescent="0.2">
      <c r="C69" s="2" t="s">
        <v>87</v>
      </c>
      <c r="D69" s="7">
        <v>1</v>
      </c>
    </row>
    <row r="70" spans="3:4" x14ac:dyDescent="0.2">
      <c r="C70" s="1" t="s">
        <v>88</v>
      </c>
      <c r="D70" s="5"/>
    </row>
    <row r="71" spans="3:4" x14ac:dyDescent="0.2">
      <c r="C71" s="2" t="s">
        <v>89</v>
      </c>
      <c r="D71" s="7">
        <v>1</v>
      </c>
    </row>
    <row r="72" spans="3:4" x14ac:dyDescent="0.2">
      <c r="C72" s="1" t="s">
        <v>90</v>
      </c>
      <c r="D72" s="5"/>
    </row>
    <row r="73" spans="3:4" x14ac:dyDescent="0.2">
      <c r="C73" s="2" t="s">
        <v>91</v>
      </c>
      <c r="D73" s="7">
        <v>1</v>
      </c>
    </row>
    <row r="74" spans="3:4" x14ac:dyDescent="0.2">
      <c r="C74" s="1" t="s">
        <v>92</v>
      </c>
      <c r="D74" s="5">
        <v>1</v>
      </c>
    </row>
    <row r="75" spans="3:4" x14ac:dyDescent="0.2">
      <c r="C75" s="2" t="s">
        <v>93</v>
      </c>
      <c r="D75" s="7"/>
    </row>
    <row r="76" spans="3:4" x14ac:dyDescent="0.2">
      <c r="C76" s="1" t="s">
        <v>94</v>
      </c>
      <c r="D76" s="5"/>
    </row>
    <row r="77" spans="3:4" x14ac:dyDescent="0.2">
      <c r="C77" s="2" t="s">
        <v>95</v>
      </c>
      <c r="D77" s="7">
        <v>1</v>
      </c>
    </row>
    <row r="78" spans="3:4" x14ac:dyDescent="0.2">
      <c r="C78" s="1" t="s">
        <v>96</v>
      </c>
      <c r="D78" s="5">
        <v>1</v>
      </c>
    </row>
    <row r="79" spans="3:4" x14ac:dyDescent="0.2">
      <c r="C79" s="2" t="s">
        <v>97</v>
      </c>
      <c r="D79" s="7"/>
    </row>
    <row r="80" spans="3:4" x14ac:dyDescent="0.2">
      <c r="C80" s="1" t="s">
        <v>98</v>
      </c>
      <c r="D80" s="5"/>
    </row>
    <row r="81" spans="3:4" x14ac:dyDescent="0.2">
      <c r="C81" s="2" t="s">
        <v>99</v>
      </c>
      <c r="D81" s="7"/>
    </row>
    <row r="82" spans="3:4" x14ac:dyDescent="0.2">
      <c r="C82" s="1" t="s">
        <v>100</v>
      </c>
      <c r="D82" s="5"/>
    </row>
    <row r="83" spans="3:4" x14ac:dyDescent="0.2">
      <c r="C83" s="2" t="s">
        <v>101</v>
      </c>
      <c r="D83" s="7"/>
    </row>
    <row r="84" spans="3:4" x14ac:dyDescent="0.2">
      <c r="C84" s="1" t="s">
        <v>102</v>
      </c>
      <c r="D84" s="5">
        <v>2</v>
      </c>
    </row>
    <row r="85" spans="3:4" x14ac:dyDescent="0.2">
      <c r="C85" s="2" t="s">
        <v>103</v>
      </c>
      <c r="D85" s="7"/>
    </row>
    <row r="86" spans="3:4" x14ac:dyDescent="0.2">
      <c r="C86" s="1" t="s">
        <v>104</v>
      </c>
      <c r="D86" s="5"/>
    </row>
    <row r="87" spans="3:4" x14ac:dyDescent="0.2">
      <c r="C87" s="2" t="s">
        <v>105</v>
      </c>
      <c r="D87" s="7"/>
    </row>
    <row r="88" spans="3:4" x14ac:dyDescent="0.2">
      <c r="C88" s="1" t="s">
        <v>106</v>
      </c>
      <c r="D88" s="5"/>
    </row>
    <row r="89" spans="3:4" x14ac:dyDescent="0.2">
      <c r="C89" s="2" t="s">
        <v>107</v>
      </c>
      <c r="D89" s="7"/>
    </row>
    <row r="90" spans="3:4" x14ac:dyDescent="0.2">
      <c r="C90" s="1" t="s">
        <v>108</v>
      </c>
      <c r="D90" s="5"/>
    </row>
    <row r="91" spans="3:4" x14ac:dyDescent="0.2">
      <c r="C91" s="2" t="s">
        <v>109</v>
      </c>
      <c r="D91" s="7"/>
    </row>
    <row r="92" spans="3:4" x14ac:dyDescent="0.2">
      <c r="C92" s="1" t="s">
        <v>110</v>
      </c>
      <c r="D92" s="5"/>
    </row>
    <row r="93" spans="3:4" x14ac:dyDescent="0.2">
      <c r="C93" s="2" t="s">
        <v>111</v>
      </c>
      <c r="D93" s="7"/>
    </row>
  </sheetData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F9923-BED5-4104-8315-179B12169BA6}">
  <dimension ref="A1:D93"/>
  <sheetViews>
    <sheetView workbookViewId="0">
      <selection sqref="A1:A1048576"/>
    </sheetView>
  </sheetViews>
  <sheetFormatPr defaultRowHeight="15" x14ac:dyDescent="0.2"/>
  <cols>
    <col min="1" max="1" width="63.62890625" style="4" customWidth="1"/>
    <col min="3" max="3" width="34.16796875" customWidth="1"/>
    <col min="4" max="4" width="12.375" style="4" customWidth="1"/>
  </cols>
  <sheetData>
    <row r="1" spans="1:4" x14ac:dyDescent="0.2">
      <c r="A1" s="18" t="s">
        <v>144</v>
      </c>
      <c r="C1" s="3" t="s">
        <v>1</v>
      </c>
      <c r="D1" s="3" t="s">
        <v>7</v>
      </c>
    </row>
    <row r="2" spans="1:4" x14ac:dyDescent="0.2">
      <c r="A2" s="9" t="s">
        <v>111</v>
      </c>
      <c r="C2" s="1" t="s">
        <v>20</v>
      </c>
      <c r="D2" s="5">
        <v>577027</v>
      </c>
    </row>
    <row r="3" spans="1:4" x14ac:dyDescent="0.2">
      <c r="C3" s="2" t="s">
        <v>21</v>
      </c>
      <c r="D3" s="7">
        <v>71565</v>
      </c>
    </row>
    <row r="4" spans="1:4" x14ac:dyDescent="0.2">
      <c r="C4" s="1" t="s">
        <v>22</v>
      </c>
      <c r="D4" s="5">
        <v>61810</v>
      </c>
    </row>
    <row r="5" spans="1:4" x14ac:dyDescent="0.2">
      <c r="C5" s="2" t="s">
        <v>23</v>
      </c>
      <c r="D5" s="7">
        <v>46576</v>
      </c>
    </row>
    <row r="6" spans="1:4" x14ac:dyDescent="0.2">
      <c r="C6" s="1" t="s">
        <v>24</v>
      </c>
      <c r="D6" s="5">
        <v>43495</v>
      </c>
    </row>
    <row r="7" spans="1:4" x14ac:dyDescent="0.2">
      <c r="C7" s="2" t="s">
        <v>25</v>
      </c>
      <c r="D7" s="7">
        <v>33936</v>
      </c>
    </row>
    <row r="8" spans="1:4" x14ac:dyDescent="0.2">
      <c r="C8" s="1" t="s">
        <v>26</v>
      </c>
      <c r="D8" s="5">
        <v>37421</v>
      </c>
    </row>
    <row r="9" spans="1:4" x14ac:dyDescent="0.2">
      <c r="C9" s="2" t="s">
        <v>27</v>
      </c>
      <c r="D9" s="7">
        <v>33794</v>
      </c>
    </row>
    <row r="10" spans="1:4" x14ac:dyDescent="0.2">
      <c r="C10" s="1" t="s">
        <v>28</v>
      </c>
      <c r="D10" s="5">
        <v>31211</v>
      </c>
    </row>
    <row r="11" spans="1:4" x14ac:dyDescent="0.2">
      <c r="C11" s="2" t="s">
        <v>29</v>
      </c>
      <c r="D11" s="7">
        <v>33814</v>
      </c>
    </row>
    <row r="12" spans="1:4" x14ac:dyDescent="0.2">
      <c r="C12" s="1" t="s">
        <v>30</v>
      </c>
      <c r="D12" s="5">
        <v>28535</v>
      </c>
    </row>
    <row r="13" spans="1:4" x14ac:dyDescent="0.2">
      <c r="C13" s="2" t="s">
        <v>31</v>
      </c>
      <c r="D13" s="7">
        <v>21069</v>
      </c>
    </row>
    <row r="14" spans="1:4" x14ac:dyDescent="0.2">
      <c r="C14" s="1" t="s">
        <v>32</v>
      </c>
      <c r="D14" s="5">
        <v>16373</v>
      </c>
    </row>
    <row r="15" spans="1:4" x14ac:dyDescent="0.2">
      <c r="C15" s="2" t="s">
        <v>33</v>
      </c>
      <c r="D15" s="7">
        <v>18279</v>
      </c>
    </row>
    <row r="16" spans="1:4" x14ac:dyDescent="0.2">
      <c r="C16" s="1" t="s">
        <v>34</v>
      </c>
      <c r="D16" s="5">
        <v>14457</v>
      </c>
    </row>
    <row r="17" spans="3:4" x14ac:dyDescent="0.2">
      <c r="C17" s="2" t="s">
        <v>35</v>
      </c>
      <c r="D17" s="7">
        <v>11592</v>
      </c>
    </row>
    <row r="18" spans="3:4" x14ac:dyDescent="0.2">
      <c r="C18" s="1" t="s">
        <v>36</v>
      </c>
      <c r="D18" s="5">
        <v>10510</v>
      </c>
    </row>
    <row r="19" spans="3:4" x14ac:dyDescent="0.2">
      <c r="C19" s="2" t="s">
        <v>37</v>
      </c>
      <c r="D19" s="7">
        <v>8245</v>
      </c>
    </row>
    <row r="20" spans="3:4" x14ac:dyDescent="0.2">
      <c r="C20" s="1" t="s">
        <v>38</v>
      </c>
      <c r="D20" s="5">
        <v>6735</v>
      </c>
    </row>
    <row r="21" spans="3:4" x14ac:dyDescent="0.2">
      <c r="C21" s="2" t="s">
        <v>39</v>
      </c>
      <c r="D21" s="7">
        <v>7521</v>
      </c>
    </row>
    <row r="22" spans="3:4" x14ac:dyDescent="0.2">
      <c r="C22" s="1" t="s">
        <v>40</v>
      </c>
      <c r="D22" s="5">
        <v>7362</v>
      </c>
    </row>
    <row r="23" spans="3:4" x14ac:dyDescent="0.2">
      <c r="C23" s="2" t="s">
        <v>41</v>
      </c>
      <c r="D23" s="7">
        <v>7131</v>
      </c>
    </row>
    <row r="24" spans="3:4" x14ac:dyDescent="0.2">
      <c r="C24" s="1" t="s">
        <v>42</v>
      </c>
      <c r="D24" s="5">
        <v>7374</v>
      </c>
    </row>
    <row r="25" spans="3:4" x14ac:dyDescent="0.2">
      <c r="C25" s="2" t="s">
        <v>43</v>
      </c>
      <c r="D25" s="7">
        <v>5980</v>
      </c>
    </row>
    <row r="26" spans="3:4" x14ac:dyDescent="0.2">
      <c r="C26" s="1" t="s">
        <v>44</v>
      </c>
      <c r="D26" s="5">
        <v>4992</v>
      </c>
    </row>
    <row r="27" spans="3:4" x14ac:dyDescent="0.2">
      <c r="C27" s="2" t="s">
        <v>45</v>
      </c>
      <c r="D27" s="7">
        <v>6355</v>
      </c>
    </row>
    <row r="28" spans="3:4" x14ac:dyDescent="0.2">
      <c r="C28" s="1" t="s">
        <v>46</v>
      </c>
      <c r="D28" s="5">
        <v>5852</v>
      </c>
    </row>
    <row r="29" spans="3:4" x14ac:dyDescent="0.2">
      <c r="C29" s="2" t="s">
        <v>47</v>
      </c>
      <c r="D29" s="7">
        <v>4852</v>
      </c>
    </row>
    <row r="30" spans="3:4" x14ac:dyDescent="0.2">
      <c r="C30" s="1" t="s">
        <v>48</v>
      </c>
      <c r="D30" s="5">
        <v>4786</v>
      </c>
    </row>
    <row r="31" spans="3:4" x14ac:dyDescent="0.2">
      <c r="C31" s="2" t="s">
        <v>49</v>
      </c>
      <c r="D31" s="7">
        <v>3530</v>
      </c>
    </row>
    <row r="32" spans="3:4" x14ac:dyDescent="0.2">
      <c r="C32" s="1" t="s">
        <v>50</v>
      </c>
      <c r="D32" s="5">
        <v>5692</v>
      </c>
    </row>
    <row r="33" spans="3:4" x14ac:dyDescent="0.2">
      <c r="C33" s="2" t="s">
        <v>51</v>
      </c>
      <c r="D33" s="7">
        <v>3719</v>
      </c>
    </row>
    <row r="34" spans="3:4" x14ac:dyDescent="0.2">
      <c r="C34" s="1" t="s">
        <v>52</v>
      </c>
      <c r="D34" s="5">
        <v>3554</v>
      </c>
    </row>
    <row r="35" spans="3:4" x14ac:dyDescent="0.2">
      <c r="C35" s="2" t="s">
        <v>53</v>
      </c>
      <c r="D35" s="7">
        <v>4508</v>
      </c>
    </row>
    <row r="36" spans="3:4" x14ac:dyDescent="0.2">
      <c r="C36" s="1" t="s">
        <v>54</v>
      </c>
      <c r="D36" s="5">
        <v>3076</v>
      </c>
    </row>
    <row r="37" spans="3:4" x14ac:dyDescent="0.2">
      <c r="C37" s="2" t="s">
        <v>55</v>
      </c>
      <c r="D37" s="7">
        <v>6056</v>
      </c>
    </row>
    <row r="38" spans="3:4" x14ac:dyDescent="0.2">
      <c r="C38" s="1" t="s">
        <v>56</v>
      </c>
      <c r="D38" s="5">
        <v>3055</v>
      </c>
    </row>
    <row r="39" spans="3:4" x14ac:dyDescent="0.2">
      <c r="C39" s="2" t="s">
        <v>57</v>
      </c>
      <c r="D39" s="7">
        <v>2197</v>
      </c>
    </row>
    <row r="40" spans="3:4" x14ac:dyDescent="0.2">
      <c r="C40" s="1" t="s">
        <v>58</v>
      </c>
      <c r="D40" s="5">
        <v>2557</v>
      </c>
    </row>
    <row r="41" spans="3:4" x14ac:dyDescent="0.2">
      <c r="C41" s="2" t="s">
        <v>59</v>
      </c>
      <c r="D41" s="7">
        <v>2604</v>
      </c>
    </row>
    <row r="42" spans="3:4" x14ac:dyDescent="0.2">
      <c r="C42" s="1" t="s">
        <v>60</v>
      </c>
      <c r="D42" s="5">
        <v>2737</v>
      </c>
    </row>
    <row r="43" spans="3:4" x14ac:dyDescent="0.2">
      <c r="C43" s="2" t="s">
        <v>61</v>
      </c>
      <c r="D43" s="7">
        <v>2311</v>
      </c>
    </row>
    <row r="44" spans="3:4" x14ac:dyDescent="0.2">
      <c r="C44" s="1" t="s">
        <v>62</v>
      </c>
      <c r="D44" s="5">
        <v>2398</v>
      </c>
    </row>
    <row r="45" spans="3:4" x14ac:dyDescent="0.2">
      <c r="C45" s="2" t="s">
        <v>63</v>
      </c>
      <c r="D45" s="7">
        <v>2526</v>
      </c>
    </row>
    <row r="46" spans="3:4" x14ac:dyDescent="0.2">
      <c r="C46" s="1" t="s">
        <v>64</v>
      </c>
      <c r="D46" s="5">
        <v>2055</v>
      </c>
    </row>
    <row r="47" spans="3:4" x14ac:dyDescent="0.2">
      <c r="C47" s="2" t="s">
        <v>65</v>
      </c>
      <c r="D47" s="7">
        <v>1570</v>
      </c>
    </row>
    <row r="48" spans="3:4" x14ac:dyDescent="0.2">
      <c r="C48" s="1" t="s">
        <v>66</v>
      </c>
      <c r="D48" s="5">
        <v>2028</v>
      </c>
    </row>
    <row r="49" spans="3:4" x14ac:dyDescent="0.2">
      <c r="C49" s="2" t="s">
        <v>67</v>
      </c>
      <c r="D49" s="7">
        <v>1681</v>
      </c>
    </row>
    <row r="50" spans="3:4" x14ac:dyDescent="0.2">
      <c r="C50" s="1" t="s">
        <v>68</v>
      </c>
      <c r="D50" s="5">
        <v>1270</v>
      </c>
    </row>
    <row r="51" spans="3:4" x14ac:dyDescent="0.2">
      <c r="C51" s="2" t="s">
        <v>69</v>
      </c>
      <c r="D51" s="7">
        <v>1165</v>
      </c>
    </row>
    <row r="52" spans="3:4" x14ac:dyDescent="0.2">
      <c r="C52" s="1" t="s">
        <v>70</v>
      </c>
      <c r="D52" s="5">
        <v>1406</v>
      </c>
    </row>
    <row r="53" spans="3:4" x14ac:dyDescent="0.2">
      <c r="C53" s="2" t="s">
        <v>71</v>
      </c>
      <c r="D53" s="7">
        <v>1196</v>
      </c>
    </row>
    <row r="54" spans="3:4" x14ac:dyDescent="0.2">
      <c r="C54" s="1" t="s">
        <v>72</v>
      </c>
      <c r="D54" s="5">
        <v>1291</v>
      </c>
    </row>
    <row r="55" spans="3:4" x14ac:dyDescent="0.2">
      <c r="C55" s="2" t="s">
        <v>73</v>
      </c>
      <c r="D55" s="7">
        <v>1127</v>
      </c>
    </row>
    <row r="56" spans="3:4" x14ac:dyDescent="0.2">
      <c r="C56" s="1" t="s">
        <v>74</v>
      </c>
      <c r="D56" s="5">
        <v>897</v>
      </c>
    </row>
    <row r="57" spans="3:4" x14ac:dyDescent="0.2">
      <c r="C57" s="2" t="s">
        <v>75</v>
      </c>
      <c r="D57" s="7">
        <v>1366</v>
      </c>
    </row>
    <row r="58" spans="3:4" x14ac:dyDescent="0.2">
      <c r="C58" s="1" t="s">
        <v>76</v>
      </c>
      <c r="D58" s="5">
        <v>1054</v>
      </c>
    </row>
    <row r="59" spans="3:4" x14ac:dyDescent="0.2">
      <c r="C59" s="2" t="s">
        <v>77</v>
      </c>
      <c r="D59" s="7">
        <v>1023</v>
      </c>
    </row>
    <row r="60" spans="3:4" x14ac:dyDescent="0.2">
      <c r="C60" s="1" t="s">
        <v>78</v>
      </c>
      <c r="D60" s="5">
        <v>723</v>
      </c>
    </row>
    <row r="61" spans="3:4" x14ac:dyDescent="0.2">
      <c r="C61" s="2" t="s">
        <v>79</v>
      </c>
      <c r="D61" s="7">
        <v>468</v>
      </c>
    </row>
    <row r="62" spans="3:4" x14ac:dyDescent="0.2">
      <c r="C62" s="1" t="s">
        <v>80</v>
      </c>
      <c r="D62" s="5">
        <v>704</v>
      </c>
    </row>
    <row r="63" spans="3:4" x14ac:dyDescent="0.2">
      <c r="C63" s="2" t="s">
        <v>81</v>
      </c>
      <c r="D63" s="7">
        <v>466</v>
      </c>
    </row>
    <row r="64" spans="3:4" x14ac:dyDescent="0.2">
      <c r="C64" s="1" t="s">
        <v>82</v>
      </c>
      <c r="D64" s="5">
        <v>625</v>
      </c>
    </row>
    <row r="65" spans="3:4" x14ac:dyDescent="0.2">
      <c r="C65" s="2" t="s">
        <v>83</v>
      </c>
      <c r="D65" s="7">
        <v>343</v>
      </c>
    </row>
    <row r="66" spans="3:4" x14ac:dyDescent="0.2">
      <c r="C66" s="1" t="s">
        <v>84</v>
      </c>
      <c r="D66" s="5">
        <v>499</v>
      </c>
    </row>
    <row r="67" spans="3:4" x14ac:dyDescent="0.2">
      <c r="C67" s="2" t="s">
        <v>85</v>
      </c>
      <c r="D67" s="7">
        <v>419</v>
      </c>
    </row>
    <row r="68" spans="3:4" x14ac:dyDescent="0.2">
      <c r="C68" s="1" t="s">
        <v>86</v>
      </c>
      <c r="D68" s="5">
        <v>452</v>
      </c>
    </row>
    <row r="69" spans="3:4" x14ac:dyDescent="0.2">
      <c r="C69" s="2" t="s">
        <v>87</v>
      </c>
      <c r="D69" s="7">
        <v>415</v>
      </c>
    </row>
    <row r="70" spans="3:4" x14ac:dyDescent="0.2">
      <c r="C70" s="1" t="s">
        <v>88</v>
      </c>
      <c r="D70" s="5">
        <v>391</v>
      </c>
    </row>
    <row r="71" spans="3:4" x14ac:dyDescent="0.2">
      <c r="C71" s="2" t="s">
        <v>89</v>
      </c>
      <c r="D71" s="7">
        <v>281</v>
      </c>
    </row>
    <row r="72" spans="3:4" x14ac:dyDescent="0.2">
      <c r="C72" s="1" t="s">
        <v>90</v>
      </c>
      <c r="D72" s="5">
        <v>320</v>
      </c>
    </row>
    <row r="73" spans="3:4" x14ac:dyDescent="0.2">
      <c r="C73" s="2" t="s">
        <v>91</v>
      </c>
      <c r="D73" s="7">
        <v>230</v>
      </c>
    </row>
    <row r="74" spans="3:4" x14ac:dyDescent="0.2">
      <c r="C74" s="1" t="s">
        <v>92</v>
      </c>
      <c r="D74" s="5">
        <v>257</v>
      </c>
    </row>
    <row r="75" spans="3:4" x14ac:dyDescent="0.2">
      <c r="C75" s="2" t="s">
        <v>93</v>
      </c>
      <c r="D75" s="7">
        <v>321</v>
      </c>
    </row>
    <row r="76" spans="3:4" x14ac:dyDescent="0.2">
      <c r="C76" s="1" t="s">
        <v>94</v>
      </c>
      <c r="D76" s="5">
        <v>235</v>
      </c>
    </row>
    <row r="77" spans="3:4" x14ac:dyDescent="0.2">
      <c r="C77" s="2" t="s">
        <v>95</v>
      </c>
      <c r="D77" s="7">
        <v>156</v>
      </c>
    </row>
    <row r="78" spans="3:4" x14ac:dyDescent="0.2">
      <c r="C78" s="1" t="s">
        <v>96</v>
      </c>
      <c r="D78" s="5">
        <v>214</v>
      </c>
    </row>
    <row r="79" spans="3:4" x14ac:dyDescent="0.2">
      <c r="C79" s="2" t="s">
        <v>97</v>
      </c>
      <c r="D79" s="7">
        <v>174</v>
      </c>
    </row>
    <row r="80" spans="3:4" x14ac:dyDescent="0.2">
      <c r="C80" s="1" t="s">
        <v>98</v>
      </c>
      <c r="D80" s="5">
        <v>145</v>
      </c>
    </row>
    <row r="81" spans="3:4" x14ac:dyDescent="0.2">
      <c r="C81" s="2" t="s">
        <v>99</v>
      </c>
      <c r="D81" s="7">
        <v>121</v>
      </c>
    </row>
    <row r="82" spans="3:4" x14ac:dyDescent="0.2">
      <c r="C82" s="1" t="s">
        <v>100</v>
      </c>
      <c r="D82" s="5">
        <v>130</v>
      </c>
    </row>
    <row r="83" spans="3:4" x14ac:dyDescent="0.2">
      <c r="C83" s="2" t="s">
        <v>101</v>
      </c>
      <c r="D83" s="7">
        <v>110</v>
      </c>
    </row>
    <row r="84" spans="3:4" x14ac:dyDescent="0.2">
      <c r="C84" s="1" t="s">
        <v>102</v>
      </c>
      <c r="D84" s="5">
        <v>111</v>
      </c>
    </row>
    <row r="85" spans="3:4" x14ac:dyDescent="0.2">
      <c r="C85" s="2" t="s">
        <v>103</v>
      </c>
      <c r="D85" s="7">
        <v>86</v>
      </c>
    </row>
    <row r="86" spans="3:4" x14ac:dyDescent="0.2">
      <c r="C86" s="1" t="s">
        <v>104</v>
      </c>
      <c r="D86" s="5">
        <v>114</v>
      </c>
    </row>
    <row r="87" spans="3:4" x14ac:dyDescent="0.2">
      <c r="C87" s="2" t="s">
        <v>105</v>
      </c>
      <c r="D87" s="7">
        <v>94</v>
      </c>
    </row>
    <row r="88" spans="3:4" x14ac:dyDescent="0.2">
      <c r="C88" s="1" t="s">
        <v>106</v>
      </c>
      <c r="D88" s="5">
        <v>95</v>
      </c>
    </row>
    <row r="89" spans="3:4" x14ac:dyDescent="0.2">
      <c r="C89" s="2" t="s">
        <v>107</v>
      </c>
      <c r="D89" s="7">
        <v>63</v>
      </c>
    </row>
    <row r="90" spans="3:4" x14ac:dyDescent="0.2">
      <c r="C90" s="1" t="s">
        <v>108</v>
      </c>
      <c r="D90" s="5">
        <v>76</v>
      </c>
    </row>
    <row r="91" spans="3:4" x14ac:dyDescent="0.2">
      <c r="C91" s="2" t="s">
        <v>109</v>
      </c>
      <c r="D91" s="7">
        <v>39</v>
      </c>
    </row>
    <row r="92" spans="3:4" x14ac:dyDescent="0.2">
      <c r="C92" s="1" t="s">
        <v>110</v>
      </c>
      <c r="D92" s="5">
        <v>56</v>
      </c>
    </row>
    <row r="93" spans="3:4" x14ac:dyDescent="0.2">
      <c r="C93" s="2" t="s">
        <v>111</v>
      </c>
      <c r="D93" s="7">
        <v>30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3"/>
  <sheetViews>
    <sheetView workbookViewId="0">
      <selection activeCell="H24" sqref="H24"/>
    </sheetView>
  </sheetViews>
  <sheetFormatPr defaultRowHeight="15" x14ac:dyDescent="0.2"/>
  <cols>
    <col min="1" max="1" width="53.80859375" customWidth="1"/>
    <col min="3" max="3" width="34.16796875" customWidth="1"/>
    <col min="4" max="4" width="11.1640625" style="4" customWidth="1"/>
  </cols>
  <sheetData>
    <row r="1" spans="1:4" x14ac:dyDescent="0.2">
      <c r="A1" s="15" t="s">
        <v>114</v>
      </c>
      <c r="C1" s="10" t="s">
        <v>1</v>
      </c>
      <c r="D1" s="10" t="s">
        <v>8</v>
      </c>
    </row>
    <row r="2" spans="1:4" x14ac:dyDescent="0.2">
      <c r="A2" s="16" t="s">
        <v>20</v>
      </c>
      <c r="C2" s="1" t="s">
        <v>20</v>
      </c>
      <c r="D2" s="5">
        <v>247842</v>
      </c>
    </row>
    <row r="3" spans="1:4" x14ac:dyDescent="0.2">
      <c r="A3" s="17"/>
      <c r="C3" s="2" t="s">
        <v>21</v>
      </c>
      <c r="D3" s="7">
        <v>27286</v>
      </c>
    </row>
    <row r="4" spans="1:4" x14ac:dyDescent="0.2">
      <c r="A4" s="4"/>
      <c r="C4" s="1" t="s">
        <v>22</v>
      </c>
      <c r="D4" s="5">
        <v>17151</v>
      </c>
    </row>
    <row r="5" spans="1:4" x14ac:dyDescent="0.2">
      <c r="C5" s="2" t="s">
        <v>23</v>
      </c>
      <c r="D5" s="7">
        <v>18788</v>
      </c>
    </row>
    <row r="6" spans="1:4" x14ac:dyDescent="0.2">
      <c r="C6" s="1" t="s">
        <v>24</v>
      </c>
      <c r="D6" s="5">
        <v>13103</v>
      </c>
    </row>
    <row r="7" spans="1:4" x14ac:dyDescent="0.2">
      <c r="C7" s="2" t="s">
        <v>25</v>
      </c>
      <c r="D7" s="7">
        <v>12036</v>
      </c>
    </row>
    <row r="8" spans="1:4" x14ac:dyDescent="0.2">
      <c r="C8" s="1" t="s">
        <v>26</v>
      </c>
      <c r="D8" s="5">
        <v>11904</v>
      </c>
    </row>
    <row r="9" spans="1:4" x14ac:dyDescent="0.2">
      <c r="C9" s="2" t="s">
        <v>27</v>
      </c>
      <c r="D9" s="7">
        <v>11901</v>
      </c>
    </row>
    <row r="10" spans="1:4" x14ac:dyDescent="0.2">
      <c r="C10" s="1" t="s">
        <v>28</v>
      </c>
      <c r="D10" s="5">
        <v>10239</v>
      </c>
    </row>
    <row r="11" spans="1:4" x14ac:dyDescent="0.2">
      <c r="C11" s="2" t="s">
        <v>29</v>
      </c>
      <c r="D11" s="7">
        <v>9612</v>
      </c>
    </row>
    <row r="12" spans="1:4" x14ac:dyDescent="0.2">
      <c r="C12" s="1" t="s">
        <v>30</v>
      </c>
      <c r="D12" s="5">
        <v>11987</v>
      </c>
    </row>
    <row r="13" spans="1:4" x14ac:dyDescent="0.2">
      <c r="C13" s="2" t="s">
        <v>31</v>
      </c>
      <c r="D13" s="7">
        <v>7881</v>
      </c>
    </row>
    <row r="14" spans="1:4" x14ac:dyDescent="0.2">
      <c r="C14" s="1" t="s">
        <v>32</v>
      </c>
      <c r="D14" s="5">
        <v>8063</v>
      </c>
    </row>
    <row r="15" spans="1:4" x14ac:dyDescent="0.2">
      <c r="C15" s="2" t="s">
        <v>33</v>
      </c>
      <c r="D15" s="7">
        <v>5887</v>
      </c>
    </row>
    <row r="16" spans="1:4" x14ac:dyDescent="0.2">
      <c r="C16" s="1" t="s">
        <v>34</v>
      </c>
      <c r="D16" s="5">
        <v>5980</v>
      </c>
    </row>
    <row r="17" spans="3:4" x14ac:dyDescent="0.2">
      <c r="C17" s="2" t="s">
        <v>35</v>
      </c>
      <c r="D17" s="7">
        <v>4587</v>
      </c>
    </row>
    <row r="18" spans="3:4" x14ac:dyDescent="0.2">
      <c r="C18" s="1" t="s">
        <v>36</v>
      </c>
      <c r="D18" s="5">
        <v>4141</v>
      </c>
    </row>
    <row r="19" spans="3:4" x14ac:dyDescent="0.2">
      <c r="C19" s="2" t="s">
        <v>37</v>
      </c>
      <c r="D19" s="7">
        <v>3030</v>
      </c>
    </row>
    <row r="20" spans="3:4" x14ac:dyDescent="0.2">
      <c r="C20" s="1" t="s">
        <v>38</v>
      </c>
      <c r="D20" s="5">
        <v>3289</v>
      </c>
    </row>
    <row r="21" spans="3:4" x14ac:dyDescent="0.2">
      <c r="C21" s="2" t="s">
        <v>39</v>
      </c>
      <c r="D21" s="7">
        <v>3482</v>
      </c>
    </row>
    <row r="22" spans="3:4" x14ac:dyDescent="0.2">
      <c r="C22" s="1" t="s">
        <v>40</v>
      </c>
      <c r="D22" s="5">
        <v>2629</v>
      </c>
    </row>
    <row r="23" spans="3:4" x14ac:dyDescent="0.2">
      <c r="C23" s="2" t="s">
        <v>41</v>
      </c>
      <c r="D23" s="7">
        <v>2600</v>
      </c>
    </row>
    <row r="24" spans="3:4" x14ac:dyDescent="0.2">
      <c r="C24" s="1" t="s">
        <v>42</v>
      </c>
      <c r="D24" s="5">
        <v>1687</v>
      </c>
    </row>
    <row r="25" spans="3:4" x14ac:dyDescent="0.2">
      <c r="C25" s="2" t="s">
        <v>43</v>
      </c>
      <c r="D25" s="7">
        <v>2469</v>
      </c>
    </row>
    <row r="26" spans="3:4" x14ac:dyDescent="0.2">
      <c r="C26" s="1" t="s">
        <v>44</v>
      </c>
      <c r="D26" s="5">
        <v>1997</v>
      </c>
    </row>
    <row r="27" spans="3:4" x14ac:dyDescent="0.2">
      <c r="C27" s="2" t="s">
        <v>45</v>
      </c>
      <c r="D27" s="7">
        <v>1906</v>
      </c>
    </row>
    <row r="28" spans="3:4" x14ac:dyDescent="0.2">
      <c r="C28" s="1" t="s">
        <v>46</v>
      </c>
      <c r="D28" s="5">
        <v>1746</v>
      </c>
    </row>
    <row r="29" spans="3:4" x14ac:dyDescent="0.2">
      <c r="C29" s="2" t="s">
        <v>47</v>
      </c>
      <c r="D29" s="7">
        <v>2106</v>
      </c>
    </row>
    <row r="30" spans="3:4" x14ac:dyDescent="0.2">
      <c r="C30" s="1" t="s">
        <v>48</v>
      </c>
      <c r="D30" s="5">
        <v>2266</v>
      </c>
    </row>
    <row r="31" spans="3:4" x14ac:dyDescent="0.2">
      <c r="C31" s="2" t="s">
        <v>49</v>
      </c>
      <c r="D31" s="7">
        <v>1448</v>
      </c>
    </row>
    <row r="32" spans="3:4" x14ac:dyDescent="0.2">
      <c r="C32" s="1" t="s">
        <v>50</v>
      </c>
      <c r="D32" s="5">
        <v>1263</v>
      </c>
    </row>
    <row r="33" spans="3:4" x14ac:dyDescent="0.2">
      <c r="C33" s="2" t="s">
        <v>51</v>
      </c>
      <c r="D33" s="7">
        <v>1349</v>
      </c>
    </row>
    <row r="34" spans="3:4" x14ac:dyDescent="0.2">
      <c r="C34" s="1" t="s">
        <v>52</v>
      </c>
      <c r="D34" s="5">
        <v>1565</v>
      </c>
    </row>
    <row r="35" spans="3:4" x14ac:dyDescent="0.2">
      <c r="C35" s="2" t="s">
        <v>53</v>
      </c>
      <c r="D35" s="7">
        <v>1125</v>
      </c>
    </row>
    <row r="36" spans="3:4" x14ac:dyDescent="0.2">
      <c r="C36" s="1" t="s">
        <v>54</v>
      </c>
      <c r="D36" s="5">
        <v>1766</v>
      </c>
    </row>
    <row r="37" spans="3:4" x14ac:dyDescent="0.2">
      <c r="C37" s="2" t="s">
        <v>55</v>
      </c>
      <c r="D37" s="7">
        <v>368</v>
      </c>
    </row>
    <row r="38" spans="3:4" x14ac:dyDescent="0.2">
      <c r="C38" s="1" t="s">
        <v>56</v>
      </c>
      <c r="D38" s="5">
        <v>961</v>
      </c>
    </row>
    <row r="39" spans="3:4" x14ac:dyDescent="0.2">
      <c r="C39" s="2" t="s">
        <v>57</v>
      </c>
      <c r="D39" s="7">
        <v>924</v>
      </c>
    </row>
    <row r="40" spans="3:4" x14ac:dyDescent="0.2">
      <c r="C40" s="1" t="s">
        <v>58</v>
      </c>
      <c r="D40" s="5">
        <v>725</v>
      </c>
    </row>
    <row r="41" spans="3:4" x14ac:dyDescent="0.2">
      <c r="C41" s="2" t="s">
        <v>59</v>
      </c>
      <c r="D41" s="7">
        <v>707</v>
      </c>
    </row>
    <row r="42" spans="3:4" x14ac:dyDescent="0.2">
      <c r="C42" s="1" t="s">
        <v>60</v>
      </c>
      <c r="D42" s="5">
        <v>679</v>
      </c>
    </row>
    <row r="43" spans="3:4" x14ac:dyDescent="0.2">
      <c r="C43" s="2" t="s">
        <v>61</v>
      </c>
      <c r="D43" s="7">
        <v>745</v>
      </c>
    </row>
    <row r="44" spans="3:4" x14ac:dyDescent="0.2">
      <c r="C44" s="1" t="s">
        <v>62</v>
      </c>
      <c r="D44" s="5">
        <v>562</v>
      </c>
    </row>
    <row r="45" spans="3:4" x14ac:dyDescent="0.2">
      <c r="C45" s="2" t="s">
        <v>63</v>
      </c>
      <c r="D45" s="7">
        <v>450</v>
      </c>
    </row>
    <row r="46" spans="3:4" x14ac:dyDescent="0.2">
      <c r="C46" s="1" t="s">
        <v>64</v>
      </c>
      <c r="D46" s="5">
        <v>576</v>
      </c>
    </row>
    <row r="47" spans="3:4" x14ac:dyDescent="0.2">
      <c r="C47" s="2" t="s">
        <v>65</v>
      </c>
      <c r="D47" s="7">
        <v>826</v>
      </c>
    </row>
    <row r="48" spans="3:4" x14ac:dyDescent="0.2">
      <c r="C48" s="1" t="s">
        <v>66</v>
      </c>
      <c r="D48" s="5">
        <v>512</v>
      </c>
    </row>
    <row r="49" spans="3:4" x14ac:dyDescent="0.2">
      <c r="C49" s="2" t="s">
        <v>67</v>
      </c>
      <c r="D49" s="7">
        <v>525</v>
      </c>
    </row>
    <row r="50" spans="3:4" x14ac:dyDescent="0.2">
      <c r="C50" s="1" t="s">
        <v>68</v>
      </c>
      <c r="D50" s="5">
        <v>519</v>
      </c>
    </row>
    <row r="51" spans="3:4" x14ac:dyDescent="0.2">
      <c r="C51" s="2" t="s">
        <v>69</v>
      </c>
      <c r="D51" s="7">
        <v>376</v>
      </c>
    </row>
    <row r="52" spans="3:4" x14ac:dyDescent="0.2">
      <c r="C52" s="1" t="s">
        <v>70</v>
      </c>
      <c r="D52" s="5">
        <v>346</v>
      </c>
    </row>
    <row r="53" spans="3:4" x14ac:dyDescent="0.2">
      <c r="C53" s="2" t="s">
        <v>71</v>
      </c>
      <c r="D53" s="7">
        <v>455</v>
      </c>
    </row>
    <row r="54" spans="3:4" x14ac:dyDescent="0.2">
      <c r="C54" s="1" t="s">
        <v>72</v>
      </c>
      <c r="D54" s="5">
        <v>268</v>
      </c>
    </row>
    <row r="55" spans="3:4" x14ac:dyDescent="0.2">
      <c r="C55" s="2" t="s">
        <v>73</v>
      </c>
      <c r="D55" s="7">
        <v>413</v>
      </c>
    </row>
    <row r="56" spans="3:4" x14ac:dyDescent="0.2">
      <c r="C56" s="1" t="s">
        <v>74</v>
      </c>
      <c r="D56" s="5">
        <v>436</v>
      </c>
    </row>
    <row r="57" spans="3:4" x14ac:dyDescent="0.2">
      <c r="C57" s="2" t="s">
        <v>75</v>
      </c>
      <c r="D57" s="7">
        <v>196</v>
      </c>
    </row>
    <row r="58" spans="3:4" x14ac:dyDescent="0.2">
      <c r="C58" s="1" t="s">
        <v>76</v>
      </c>
      <c r="D58" s="5">
        <v>254</v>
      </c>
    </row>
    <row r="59" spans="3:4" x14ac:dyDescent="0.2">
      <c r="C59" s="2" t="s">
        <v>77</v>
      </c>
      <c r="D59" s="7">
        <v>191</v>
      </c>
    </row>
    <row r="60" spans="3:4" x14ac:dyDescent="0.2">
      <c r="C60" s="1" t="s">
        <v>78</v>
      </c>
      <c r="D60" s="5">
        <v>254</v>
      </c>
    </row>
    <row r="61" spans="3:4" x14ac:dyDescent="0.2">
      <c r="C61" s="2" t="s">
        <v>79</v>
      </c>
      <c r="D61" s="7">
        <v>250</v>
      </c>
    </row>
    <row r="62" spans="3:4" x14ac:dyDescent="0.2">
      <c r="C62" s="1" t="s">
        <v>80</v>
      </c>
      <c r="D62" s="5">
        <v>107</v>
      </c>
    </row>
    <row r="63" spans="3:4" x14ac:dyDescent="0.2">
      <c r="C63" s="2" t="s">
        <v>81</v>
      </c>
      <c r="D63" s="7">
        <v>143</v>
      </c>
    </row>
    <row r="64" spans="3:4" x14ac:dyDescent="0.2">
      <c r="C64" s="1" t="s">
        <v>82</v>
      </c>
      <c r="D64" s="5">
        <v>121</v>
      </c>
    </row>
    <row r="65" spans="3:4" x14ac:dyDescent="0.2">
      <c r="C65" s="2" t="s">
        <v>83</v>
      </c>
      <c r="D65" s="7">
        <v>97</v>
      </c>
    </row>
    <row r="66" spans="3:4" x14ac:dyDescent="0.2">
      <c r="C66" s="1" t="s">
        <v>84</v>
      </c>
      <c r="D66" s="5">
        <v>114</v>
      </c>
    </row>
    <row r="67" spans="3:4" x14ac:dyDescent="0.2">
      <c r="C67" s="2" t="s">
        <v>85</v>
      </c>
      <c r="D67" s="7">
        <v>93</v>
      </c>
    </row>
    <row r="68" spans="3:4" x14ac:dyDescent="0.2">
      <c r="C68" s="1" t="s">
        <v>86</v>
      </c>
      <c r="D68" s="5">
        <v>89</v>
      </c>
    </row>
    <row r="69" spans="3:4" x14ac:dyDescent="0.2">
      <c r="C69" s="2" t="s">
        <v>87</v>
      </c>
      <c r="D69" s="7">
        <v>144</v>
      </c>
    </row>
    <row r="70" spans="3:4" x14ac:dyDescent="0.2">
      <c r="C70" s="1" t="s">
        <v>88</v>
      </c>
      <c r="D70" s="5">
        <v>61</v>
      </c>
    </row>
    <row r="71" spans="3:4" x14ac:dyDescent="0.2">
      <c r="C71" s="2" t="s">
        <v>89</v>
      </c>
      <c r="D71" s="7">
        <v>76</v>
      </c>
    </row>
    <row r="72" spans="3:4" x14ac:dyDescent="0.2">
      <c r="C72" s="1" t="s">
        <v>90</v>
      </c>
      <c r="D72" s="5">
        <v>124</v>
      </c>
    </row>
    <row r="73" spans="3:4" x14ac:dyDescent="0.2">
      <c r="C73" s="2" t="s">
        <v>91</v>
      </c>
      <c r="D73" s="7">
        <v>94</v>
      </c>
    </row>
    <row r="74" spans="3:4" x14ac:dyDescent="0.2">
      <c r="C74" s="1" t="s">
        <v>92</v>
      </c>
      <c r="D74" s="5">
        <v>91</v>
      </c>
    </row>
    <row r="75" spans="3:4" x14ac:dyDescent="0.2">
      <c r="C75" s="2" t="s">
        <v>93</v>
      </c>
      <c r="D75" s="7">
        <v>71</v>
      </c>
    </row>
    <row r="76" spans="3:4" x14ac:dyDescent="0.2">
      <c r="C76" s="1" t="s">
        <v>94</v>
      </c>
      <c r="D76" s="5">
        <v>52</v>
      </c>
    </row>
    <row r="77" spans="3:4" x14ac:dyDescent="0.2">
      <c r="C77" s="2" t="s">
        <v>95</v>
      </c>
      <c r="D77" s="7">
        <v>60</v>
      </c>
    </row>
    <row r="78" spans="3:4" x14ac:dyDescent="0.2">
      <c r="C78" s="1" t="s">
        <v>96</v>
      </c>
      <c r="D78" s="5">
        <v>49</v>
      </c>
    </row>
    <row r="79" spans="3:4" x14ac:dyDescent="0.2">
      <c r="C79" s="2" t="s">
        <v>97</v>
      </c>
      <c r="D79" s="7">
        <v>76</v>
      </c>
    </row>
    <row r="80" spans="3:4" x14ac:dyDescent="0.2">
      <c r="C80" s="1" t="s">
        <v>98</v>
      </c>
      <c r="D80" s="5">
        <v>60</v>
      </c>
    </row>
    <row r="81" spans="3:4" x14ac:dyDescent="0.2">
      <c r="C81" s="2" t="s">
        <v>99</v>
      </c>
      <c r="D81" s="7">
        <v>80</v>
      </c>
    </row>
    <row r="82" spans="3:4" x14ac:dyDescent="0.2">
      <c r="C82" s="1" t="s">
        <v>100</v>
      </c>
      <c r="D82" s="5">
        <v>46</v>
      </c>
    </row>
    <row r="83" spans="3:4" x14ac:dyDescent="0.2">
      <c r="C83" s="2" t="s">
        <v>101</v>
      </c>
      <c r="D83" s="7">
        <v>24</v>
      </c>
    </row>
    <row r="84" spans="3:4" x14ac:dyDescent="0.2">
      <c r="C84" s="1" t="s">
        <v>102</v>
      </c>
      <c r="D84" s="5">
        <v>53</v>
      </c>
    </row>
    <row r="85" spans="3:4" x14ac:dyDescent="0.2">
      <c r="C85" s="2" t="s">
        <v>103</v>
      </c>
      <c r="D85" s="7">
        <v>30</v>
      </c>
    </row>
    <row r="86" spans="3:4" x14ac:dyDescent="0.2">
      <c r="C86" s="1" t="s">
        <v>104</v>
      </c>
      <c r="D86" s="5">
        <v>31</v>
      </c>
    </row>
    <row r="87" spans="3:4" x14ac:dyDescent="0.2">
      <c r="C87" s="2" t="s">
        <v>105</v>
      </c>
      <c r="D87" s="7">
        <v>13</v>
      </c>
    </row>
    <row r="88" spans="3:4" x14ac:dyDescent="0.2">
      <c r="C88" s="1" t="s">
        <v>106</v>
      </c>
      <c r="D88" s="5">
        <v>17</v>
      </c>
    </row>
    <row r="89" spans="3:4" x14ac:dyDescent="0.2">
      <c r="C89" s="2" t="s">
        <v>107</v>
      </c>
      <c r="D89" s="7">
        <v>12</v>
      </c>
    </row>
    <row r="90" spans="3:4" x14ac:dyDescent="0.2">
      <c r="C90" s="1" t="s">
        <v>108</v>
      </c>
      <c r="D90" s="5">
        <v>13</v>
      </c>
    </row>
    <row r="91" spans="3:4" x14ac:dyDescent="0.2">
      <c r="C91" s="2" t="s">
        <v>109</v>
      </c>
      <c r="D91" s="7">
        <v>12</v>
      </c>
    </row>
    <row r="92" spans="3:4" x14ac:dyDescent="0.2">
      <c r="C92" s="1" t="s">
        <v>110</v>
      </c>
      <c r="D92" s="5">
        <v>29</v>
      </c>
    </row>
    <row r="93" spans="3:4" x14ac:dyDescent="0.2">
      <c r="C93" s="2" t="s">
        <v>111</v>
      </c>
      <c r="D93" s="7">
        <v>5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448D9-09DF-4AA1-866F-B29709021134}">
  <dimension ref="A1:D93"/>
  <sheetViews>
    <sheetView workbookViewId="0">
      <selection activeCell="F9" sqref="F9"/>
    </sheetView>
  </sheetViews>
  <sheetFormatPr defaultRowHeight="15" x14ac:dyDescent="0.2"/>
  <cols>
    <col min="1" max="1" width="52.1953125" style="4" customWidth="1"/>
    <col min="3" max="3" width="34.16796875" customWidth="1"/>
    <col min="4" max="4" width="18.4296875" style="4" customWidth="1"/>
  </cols>
  <sheetData>
    <row r="1" spans="1:4" x14ac:dyDescent="0.2">
      <c r="A1" s="18" t="s">
        <v>115</v>
      </c>
      <c r="C1" s="3" t="s">
        <v>1</v>
      </c>
      <c r="D1" s="3" t="s">
        <v>6</v>
      </c>
    </row>
    <row r="2" spans="1:4" x14ac:dyDescent="0.2">
      <c r="A2" s="4" t="s">
        <v>113</v>
      </c>
      <c r="C2" s="1" t="s">
        <v>20</v>
      </c>
      <c r="D2" s="5">
        <v>1728265</v>
      </c>
    </row>
    <row r="3" spans="1:4" x14ac:dyDescent="0.2">
      <c r="C3" s="2" t="s">
        <v>21</v>
      </c>
      <c r="D3" s="7">
        <v>215969</v>
      </c>
    </row>
    <row r="4" spans="1:4" x14ac:dyDescent="0.2">
      <c r="C4" s="1" t="s">
        <v>22</v>
      </c>
      <c r="D4" s="5">
        <v>158274</v>
      </c>
    </row>
    <row r="5" spans="1:4" x14ac:dyDescent="0.2">
      <c r="C5" s="2" t="s">
        <v>23</v>
      </c>
      <c r="D5" s="7">
        <v>140784</v>
      </c>
    </row>
    <row r="6" spans="1:4" x14ac:dyDescent="0.2">
      <c r="C6" s="1" t="s">
        <v>24</v>
      </c>
      <c r="D6" s="5">
        <v>115251</v>
      </c>
    </row>
    <row r="7" spans="1:4" x14ac:dyDescent="0.2">
      <c r="C7" s="2" t="s">
        <v>25</v>
      </c>
      <c r="D7" s="7">
        <v>106010</v>
      </c>
    </row>
    <row r="8" spans="1:4" x14ac:dyDescent="0.2">
      <c r="C8" s="1" t="s">
        <v>26</v>
      </c>
      <c r="D8" s="5">
        <v>99187</v>
      </c>
    </row>
    <row r="9" spans="1:4" x14ac:dyDescent="0.2">
      <c r="C9" s="2" t="s">
        <v>27</v>
      </c>
      <c r="D9" s="7">
        <v>98207</v>
      </c>
    </row>
    <row r="10" spans="1:4" x14ac:dyDescent="0.2">
      <c r="C10" s="1" t="s">
        <v>28</v>
      </c>
      <c r="D10" s="5">
        <v>91317</v>
      </c>
    </row>
    <row r="11" spans="1:4" x14ac:dyDescent="0.2">
      <c r="C11" s="2" t="s">
        <v>29</v>
      </c>
      <c r="D11" s="7">
        <v>87887</v>
      </c>
    </row>
    <row r="12" spans="1:4" x14ac:dyDescent="0.2">
      <c r="C12" s="1" t="s">
        <v>30</v>
      </c>
      <c r="D12" s="5">
        <v>85652</v>
      </c>
    </row>
    <row r="13" spans="1:4" x14ac:dyDescent="0.2">
      <c r="C13" s="2" t="s">
        <v>31</v>
      </c>
      <c r="D13" s="7">
        <v>60562</v>
      </c>
    </row>
    <row r="14" spans="1:4" x14ac:dyDescent="0.2">
      <c r="C14" s="1" t="s">
        <v>32</v>
      </c>
      <c r="D14" s="5">
        <v>53297</v>
      </c>
    </row>
    <row r="15" spans="1:4" x14ac:dyDescent="0.2">
      <c r="C15" s="2" t="s">
        <v>33</v>
      </c>
      <c r="D15" s="7">
        <v>46262</v>
      </c>
    </row>
    <row r="16" spans="1:4" x14ac:dyDescent="0.2">
      <c r="C16" s="1" t="s">
        <v>34</v>
      </c>
      <c r="D16" s="5">
        <v>42031</v>
      </c>
    </row>
    <row r="17" spans="3:4" x14ac:dyDescent="0.2">
      <c r="C17" s="2" t="s">
        <v>35</v>
      </c>
      <c r="D17" s="7">
        <v>36724</v>
      </c>
    </row>
    <row r="18" spans="3:4" x14ac:dyDescent="0.2">
      <c r="C18" s="1" t="s">
        <v>36</v>
      </c>
      <c r="D18" s="5">
        <v>30629</v>
      </c>
    </row>
    <row r="19" spans="3:4" x14ac:dyDescent="0.2">
      <c r="C19" s="2" t="s">
        <v>37</v>
      </c>
      <c r="D19" s="7">
        <v>24619</v>
      </c>
    </row>
    <row r="20" spans="3:4" x14ac:dyDescent="0.2">
      <c r="C20" s="1" t="s">
        <v>38</v>
      </c>
      <c r="D20" s="5">
        <v>23781</v>
      </c>
    </row>
    <row r="21" spans="3:4" x14ac:dyDescent="0.2">
      <c r="C21" s="2" t="s">
        <v>39</v>
      </c>
      <c r="D21" s="7">
        <v>22646</v>
      </c>
    </row>
    <row r="22" spans="3:4" x14ac:dyDescent="0.2">
      <c r="C22" s="1" t="s">
        <v>40</v>
      </c>
      <c r="D22" s="5">
        <v>21315</v>
      </c>
    </row>
    <row r="23" spans="3:4" x14ac:dyDescent="0.2">
      <c r="C23" s="2" t="s">
        <v>41</v>
      </c>
      <c r="D23" s="7">
        <v>21126</v>
      </c>
    </row>
    <row r="24" spans="3:4" x14ac:dyDescent="0.2">
      <c r="C24" s="1" t="s">
        <v>42</v>
      </c>
      <c r="D24" s="5">
        <v>17999</v>
      </c>
    </row>
    <row r="25" spans="3:4" x14ac:dyDescent="0.2">
      <c r="C25" s="2" t="s">
        <v>43</v>
      </c>
      <c r="D25" s="7">
        <v>17634</v>
      </c>
    </row>
    <row r="26" spans="3:4" x14ac:dyDescent="0.2">
      <c r="C26" s="1" t="s">
        <v>44</v>
      </c>
      <c r="D26" s="5">
        <v>16400</v>
      </c>
    </row>
    <row r="27" spans="3:4" x14ac:dyDescent="0.2">
      <c r="C27" s="2" t="s">
        <v>45</v>
      </c>
      <c r="D27" s="7">
        <v>16382</v>
      </c>
    </row>
    <row r="28" spans="3:4" x14ac:dyDescent="0.2">
      <c r="C28" s="1" t="s">
        <v>46</v>
      </c>
      <c r="D28" s="5">
        <v>15411</v>
      </c>
    </row>
    <row r="29" spans="3:4" x14ac:dyDescent="0.2">
      <c r="C29" s="2" t="s">
        <v>47</v>
      </c>
      <c r="D29" s="7">
        <v>14726</v>
      </c>
    </row>
    <row r="30" spans="3:4" x14ac:dyDescent="0.2">
      <c r="C30" s="1" t="s">
        <v>48</v>
      </c>
      <c r="D30" s="5">
        <v>14140</v>
      </c>
    </row>
    <row r="31" spans="3:4" x14ac:dyDescent="0.2">
      <c r="C31" s="2" t="s">
        <v>49</v>
      </c>
      <c r="D31" s="7">
        <v>13911</v>
      </c>
    </row>
    <row r="32" spans="3:4" x14ac:dyDescent="0.2">
      <c r="C32" s="1" t="s">
        <v>50</v>
      </c>
      <c r="D32" s="5">
        <v>12433</v>
      </c>
    </row>
    <row r="33" spans="3:4" x14ac:dyDescent="0.2">
      <c r="C33" s="2" t="s">
        <v>51</v>
      </c>
      <c r="D33" s="7">
        <v>11138</v>
      </c>
    </row>
    <row r="34" spans="3:4" x14ac:dyDescent="0.2">
      <c r="C34" s="1" t="s">
        <v>52</v>
      </c>
      <c r="D34" s="5">
        <v>11123</v>
      </c>
    </row>
    <row r="35" spans="3:4" x14ac:dyDescent="0.2">
      <c r="C35" s="2" t="s">
        <v>53</v>
      </c>
      <c r="D35" s="7">
        <v>11081</v>
      </c>
    </row>
    <row r="36" spans="3:4" x14ac:dyDescent="0.2">
      <c r="C36" s="1" t="s">
        <v>54</v>
      </c>
      <c r="D36" s="5">
        <v>10863</v>
      </c>
    </row>
    <row r="37" spans="3:4" x14ac:dyDescent="0.2">
      <c r="C37" s="2" t="s">
        <v>55</v>
      </c>
      <c r="D37" s="7">
        <v>9063</v>
      </c>
    </row>
    <row r="38" spans="3:4" x14ac:dyDescent="0.2">
      <c r="C38" s="1" t="s">
        <v>56</v>
      </c>
      <c r="D38" s="5">
        <v>8717</v>
      </c>
    </row>
    <row r="39" spans="3:4" x14ac:dyDescent="0.2">
      <c r="C39" s="2" t="s">
        <v>57</v>
      </c>
      <c r="D39" s="7">
        <v>6850</v>
      </c>
    </row>
    <row r="40" spans="3:4" x14ac:dyDescent="0.2">
      <c r="C40" s="1" t="s">
        <v>58</v>
      </c>
      <c r="D40" s="5">
        <v>6833</v>
      </c>
    </row>
    <row r="41" spans="3:4" x14ac:dyDescent="0.2">
      <c r="C41" s="2" t="s">
        <v>59</v>
      </c>
      <c r="D41" s="7">
        <v>6497</v>
      </c>
    </row>
    <row r="42" spans="3:4" x14ac:dyDescent="0.2">
      <c r="C42" s="1" t="s">
        <v>60</v>
      </c>
      <c r="D42" s="5">
        <v>6365</v>
      </c>
    </row>
    <row r="43" spans="3:4" x14ac:dyDescent="0.2">
      <c r="C43" s="2" t="s">
        <v>61</v>
      </c>
      <c r="D43" s="7">
        <v>6310</v>
      </c>
    </row>
    <row r="44" spans="3:4" x14ac:dyDescent="0.2">
      <c r="C44" s="1" t="s">
        <v>62</v>
      </c>
      <c r="D44" s="5">
        <v>5601</v>
      </c>
    </row>
    <row r="45" spans="3:4" x14ac:dyDescent="0.2">
      <c r="C45" s="2" t="s">
        <v>63</v>
      </c>
      <c r="D45" s="7">
        <v>5370</v>
      </c>
    </row>
    <row r="46" spans="3:4" x14ac:dyDescent="0.2">
      <c r="C46" s="1" t="s">
        <v>64</v>
      </c>
      <c r="D46" s="5">
        <v>5195</v>
      </c>
    </row>
    <row r="47" spans="3:4" x14ac:dyDescent="0.2">
      <c r="C47" s="2" t="s">
        <v>65</v>
      </c>
      <c r="D47" s="7">
        <v>4974</v>
      </c>
    </row>
    <row r="48" spans="3:4" x14ac:dyDescent="0.2">
      <c r="C48" s="1" t="s">
        <v>66</v>
      </c>
      <c r="D48" s="5">
        <v>4919</v>
      </c>
    </row>
    <row r="49" spans="3:4" x14ac:dyDescent="0.2">
      <c r="C49" s="2" t="s">
        <v>67</v>
      </c>
      <c r="D49" s="7">
        <v>4678</v>
      </c>
    </row>
    <row r="50" spans="3:4" x14ac:dyDescent="0.2">
      <c r="C50" s="1" t="s">
        <v>68</v>
      </c>
      <c r="D50" s="5">
        <v>4223</v>
      </c>
    </row>
    <row r="51" spans="3:4" x14ac:dyDescent="0.2">
      <c r="C51" s="2" t="s">
        <v>69</v>
      </c>
      <c r="D51" s="7">
        <v>3793</v>
      </c>
    </row>
    <row r="52" spans="3:4" x14ac:dyDescent="0.2">
      <c r="C52" s="1" t="s">
        <v>70</v>
      </c>
      <c r="D52" s="5">
        <v>3475</v>
      </c>
    </row>
    <row r="53" spans="3:4" x14ac:dyDescent="0.2">
      <c r="C53" s="2" t="s">
        <v>71</v>
      </c>
      <c r="D53" s="7">
        <v>3350</v>
      </c>
    </row>
    <row r="54" spans="3:4" x14ac:dyDescent="0.2">
      <c r="C54" s="1" t="s">
        <v>72</v>
      </c>
      <c r="D54" s="5">
        <v>3245</v>
      </c>
    </row>
    <row r="55" spans="3:4" x14ac:dyDescent="0.2">
      <c r="C55" s="2" t="s">
        <v>73</v>
      </c>
      <c r="D55" s="7">
        <v>3190</v>
      </c>
    </row>
    <row r="56" spans="3:4" x14ac:dyDescent="0.2">
      <c r="C56" s="1" t="s">
        <v>74</v>
      </c>
      <c r="D56" s="5">
        <v>2978</v>
      </c>
    </row>
    <row r="57" spans="3:4" x14ac:dyDescent="0.2">
      <c r="C57" s="2" t="s">
        <v>75</v>
      </c>
      <c r="D57" s="7">
        <v>2788</v>
      </c>
    </row>
    <row r="58" spans="3:4" x14ac:dyDescent="0.2">
      <c r="C58" s="1" t="s">
        <v>76</v>
      </c>
      <c r="D58" s="5">
        <v>2521</v>
      </c>
    </row>
    <row r="59" spans="3:4" x14ac:dyDescent="0.2">
      <c r="C59" s="2" t="s">
        <v>77</v>
      </c>
      <c r="D59" s="7">
        <v>2400</v>
      </c>
    </row>
    <row r="60" spans="3:4" x14ac:dyDescent="0.2">
      <c r="C60" s="1" t="s">
        <v>78</v>
      </c>
      <c r="D60" s="5">
        <v>2040</v>
      </c>
    </row>
    <row r="61" spans="3:4" x14ac:dyDescent="0.2">
      <c r="C61" s="2" t="s">
        <v>79</v>
      </c>
      <c r="D61" s="7">
        <v>1652</v>
      </c>
    </row>
    <row r="62" spans="3:4" x14ac:dyDescent="0.2">
      <c r="C62" s="1" t="s">
        <v>80</v>
      </c>
      <c r="D62" s="5">
        <v>1557</v>
      </c>
    </row>
    <row r="63" spans="3:4" x14ac:dyDescent="0.2">
      <c r="C63" s="2" t="s">
        <v>81</v>
      </c>
      <c r="D63" s="7">
        <v>1368</v>
      </c>
    </row>
    <row r="64" spans="3:4" x14ac:dyDescent="0.2">
      <c r="C64" s="1" t="s">
        <v>82</v>
      </c>
      <c r="D64" s="5">
        <v>1252</v>
      </c>
    </row>
    <row r="65" spans="3:4" x14ac:dyDescent="0.2">
      <c r="C65" s="2" t="s">
        <v>83</v>
      </c>
      <c r="D65" s="7">
        <v>1234</v>
      </c>
    </row>
    <row r="66" spans="3:4" x14ac:dyDescent="0.2">
      <c r="C66" s="1" t="s">
        <v>84</v>
      </c>
      <c r="D66" s="5">
        <v>1109</v>
      </c>
    </row>
    <row r="67" spans="3:4" x14ac:dyDescent="0.2">
      <c r="C67" s="2" t="s">
        <v>85</v>
      </c>
      <c r="D67" s="7">
        <v>1025</v>
      </c>
    </row>
    <row r="68" spans="3:4" x14ac:dyDescent="0.2">
      <c r="C68" s="1" t="s">
        <v>86</v>
      </c>
      <c r="D68" s="5">
        <v>1011</v>
      </c>
    </row>
    <row r="69" spans="3:4" x14ac:dyDescent="0.2">
      <c r="C69" s="2" t="s">
        <v>87</v>
      </c>
      <c r="D69" s="7">
        <v>995</v>
      </c>
    </row>
    <row r="70" spans="3:4" x14ac:dyDescent="0.2">
      <c r="C70" s="1" t="s">
        <v>88</v>
      </c>
      <c r="D70" s="5">
        <v>950</v>
      </c>
    </row>
    <row r="71" spans="3:4" x14ac:dyDescent="0.2">
      <c r="C71" s="2" t="s">
        <v>89</v>
      </c>
      <c r="D71" s="7">
        <v>902</v>
      </c>
    </row>
    <row r="72" spans="3:4" x14ac:dyDescent="0.2">
      <c r="C72" s="1" t="s">
        <v>90</v>
      </c>
      <c r="D72" s="5">
        <v>850</v>
      </c>
    </row>
    <row r="73" spans="3:4" x14ac:dyDescent="0.2">
      <c r="C73" s="2" t="s">
        <v>91</v>
      </c>
      <c r="D73" s="7">
        <v>798</v>
      </c>
    </row>
    <row r="74" spans="3:4" x14ac:dyDescent="0.2">
      <c r="C74" s="1" t="s">
        <v>92</v>
      </c>
      <c r="D74" s="5">
        <v>757</v>
      </c>
    </row>
    <row r="75" spans="3:4" x14ac:dyDescent="0.2">
      <c r="C75" s="2" t="s">
        <v>93</v>
      </c>
      <c r="D75" s="7">
        <v>757</v>
      </c>
    </row>
    <row r="76" spans="3:4" x14ac:dyDescent="0.2">
      <c r="C76" s="1" t="s">
        <v>94</v>
      </c>
      <c r="D76" s="5">
        <v>602</v>
      </c>
    </row>
    <row r="77" spans="3:4" x14ac:dyDescent="0.2">
      <c r="C77" s="2" t="s">
        <v>95</v>
      </c>
      <c r="D77" s="7">
        <v>572</v>
      </c>
    </row>
    <row r="78" spans="3:4" x14ac:dyDescent="0.2">
      <c r="C78" s="1" t="s">
        <v>96</v>
      </c>
      <c r="D78" s="5">
        <v>554</v>
      </c>
    </row>
    <row r="79" spans="3:4" x14ac:dyDescent="0.2">
      <c r="C79" s="2" t="s">
        <v>97</v>
      </c>
      <c r="D79" s="7">
        <v>546</v>
      </c>
    </row>
    <row r="80" spans="3:4" x14ac:dyDescent="0.2">
      <c r="C80" s="1" t="s">
        <v>98</v>
      </c>
      <c r="D80" s="5">
        <v>481</v>
      </c>
    </row>
    <row r="81" spans="3:4" x14ac:dyDescent="0.2">
      <c r="C81" s="2" t="s">
        <v>99</v>
      </c>
      <c r="D81" s="7">
        <v>359</v>
      </c>
    </row>
    <row r="82" spans="3:4" x14ac:dyDescent="0.2">
      <c r="C82" s="1" t="s">
        <v>100</v>
      </c>
      <c r="D82" s="5">
        <v>359</v>
      </c>
    </row>
    <row r="83" spans="3:4" x14ac:dyDescent="0.2">
      <c r="C83" s="2" t="s">
        <v>101</v>
      </c>
      <c r="D83" s="7">
        <v>343</v>
      </c>
    </row>
    <row r="84" spans="3:4" x14ac:dyDescent="0.2">
      <c r="C84" s="1" t="s">
        <v>102</v>
      </c>
      <c r="D84" s="5">
        <v>335</v>
      </c>
    </row>
    <row r="85" spans="3:4" x14ac:dyDescent="0.2">
      <c r="C85" s="2" t="s">
        <v>103</v>
      </c>
      <c r="D85" s="7">
        <v>277</v>
      </c>
    </row>
    <row r="86" spans="3:4" x14ac:dyDescent="0.2">
      <c r="C86" s="1" t="s">
        <v>104</v>
      </c>
      <c r="D86" s="5">
        <v>268</v>
      </c>
    </row>
    <row r="87" spans="3:4" x14ac:dyDescent="0.2">
      <c r="C87" s="2" t="s">
        <v>105</v>
      </c>
      <c r="D87" s="7">
        <v>246</v>
      </c>
    </row>
    <row r="88" spans="3:4" x14ac:dyDescent="0.2">
      <c r="C88" s="1" t="s">
        <v>106</v>
      </c>
      <c r="D88" s="5">
        <v>223</v>
      </c>
    </row>
    <row r="89" spans="3:4" x14ac:dyDescent="0.2">
      <c r="C89" s="2" t="s">
        <v>107</v>
      </c>
      <c r="D89" s="7">
        <v>170</v>
      </c>
    </row>
    <row r="90" spans="3:4" x14ac:dyDescent="0.2">
      <c r="C90" s="1" t="s">
        <v>108</v>
      </c>
      <c r="D90" s="5">
        <v>158</v>
      </c>
    </row>
    <row r="91" spans="3:4" x14ac:dyDescent="0.2">
      <c r="C91" s="2" t="s">
        <v>109</v>
      </c>
      <c r="D91" s="7">
        <v>154</v>
      </c>
    </row>
    <row r="92" spans="3:4" x14ac:dyDescent="0.2">
      <c r="C92" s="1" t="s">
        <v>110</v>
      </c>
      <c r="D92" s="5">
        <v>148</v>
      </c>
    </row>
    <row r="93" spans="3:4" x14ac:dyDescent="0.2">
      <c r="C93" s="2" t="s">
        <v>111</v>
      </c>
      <c r="D93" s="7">
        <v>96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8A2B0-5E22-44D0-B07B-140FDA2630C9}">
  <dimension ref="A1"/>
  <sheetViews>
    <sheetView tabSelected="1" zoomScale="75" zoomScaleNormal="75" workbookViewId="0">
      <selection activeCell="S34" sqref="S34"/>
    </sheetView>
  </sheetViews>
  <sheetFormatPr defaultColWidth="9.14453125" defaultRowHeight="15" x14ac:dyDescent="0.2"/>
  <cols>
    <col min="1" max="1" width="3.765625" style="19" customWidth="1"/>
    <col min="2" max="8" width="9.14453125" style="19"/>
    <col min="9" max="9" width="3.765625" style="19" customWidth="1"/>
    <col min="10" max="16384" width="9.14453125" style="19"/>
  </cols>
  <sheetData/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0FB04-A70B-4074-B7C1-2F00C290269D}">
  <dimension ref="A1:J9"/>
  <sheetViews>
    <sheetView workbookViewId="0">
      <selection activeCell="H2" sqref="H2"/>
    </sheetView>
  </sheetViews>
  <sheetFormatPr defaultRowHeight="15" x14ac:dyDescent="0.2"/>
  <cols>
    <col min="1" max="1" width="23.9453125" bestFit="1" customWidth="1"/>
    <col min="2" max="2" width="11.97265625" bestFit="1" customWidth="1"/>
    <col min="3" max="3" width="16.0078125" bestFit="1" customWidth="1"/>
    <col min="4" max="4" width="18.5625" bestFit="1" customWidth="1"/>
    <col min="5" max="5" width="15.73828125" bestFit="1" customWidth="1"/>
    <col min="6" max="7" width="16.27734375" bestFit="1" customWidth="1"/>
    <col min="8" max="8" width="11.43359375" bestFit="1" customWidth="1"/>
    <col min="9" max="9" width="19.1015625" bestFit="1" customWidth="1"/>
    <col min="10" max="10" width="11.97265625" bestFit="1" customWidth="1"/>
    <col min="11" max="11" width="16.8125" bestFit="1" customWidth="1"/>
    <col min="12" max="12" width="18.5625" bestFit="1" customWidth="1"/>
    <col min="13" max="13" width="11.97265625" bestFit="1" customWidth="1"/>
    <col min="14" max="14" width="11.43359375" bestFit="1" customWidth="1"/>
    <col min="15" max="15" width="13.31640625" bestFit="1" customWidth="1"/>
    <col min="16" max="16" width="11.97265625" bestFit="1" customWidth="1"/>
    <col min="17" max="17" width="12.10546875" bestFit="1" customWidth="1"/>
    <col min="18" max="18" width="13.71875" bestFit="1" customWidth="1"/>
    <col min="19" max="19" width="24.88671875" bestFit="1" customWidth="1"/>
    <col min="20" max="20" width="21.38671875" bestFit="1" customWidth="1"/>
    <col min="21" max="21" width="12.10546875" bestFit="1" customWidth="1"/>
    <col min="22" max="22" width="18.0234375" bestFit="1" customWidth="1"/>
    <col min="23" max="23" width="15.46875" bestFit="1" customWidth="1"/>
    <col min="24" max="24" width="17.21875" bestFit="1" customWidth="1"/>
    <col min="25" max="25" width="15.46875" bestFit="1" customWidth="1"/>
    <col min="26" max="26" width="9.55078125" bestFit="1" customWidth="1"/>
    <col min="27" max="27" width="12.375" bestFit="1" customWidth="1"/>
    <col min="28" max="28" width="12.23828125" bestFit="1" customWidth="1"/>
    <col min="29" max="29" width="12.9140625" bestFit="1" customWidth="1"/>
    <col min="30" max="30" width="18.83203125" bestFit="1" customWidth="1"/>
    <col min="31" max="31" width="16.41015625" bestFit="1" customWidth="1"/>
    <col min="32" max="32" width="24.88671875" bestFit="1" customWidth="1"/>
    <col min="33" max="33" width="20.4453125" bestFit="1" customWidth="1"/>
    <col min="34" max="34" width="19.37109375" bestFit="1" customWidth="1"/>
    <col min="35" max="35" width="18.0234375" bestFit="1" customWidth="1"/>
    <col min="36" max="36" width="11.97265625" bestFit="1" customWidth="1"/>
    <col min="37" max="37" width="14.2578125" bestFit="1" customWidth="1"/>
    <col min="38" max="38" width="15.6015625" bestFit="1" customWidth="1"/>
    <col min="39" max="39" width="13.71875" bestFit="1" customWidth="1"/>
    <col min="40" max="40" width="10.625" bestFit="1" customWidth="1"/>
    <col min="41" max="41" width="12.10546875" bestFit="1" customWidth="1"/>
    <col min="42" max="42" width="13.5859375" bestFit="1" customWidth="1"/>
    <col min="43" max="43" width="22.734375" bestFit="1" customWidth="1"/>
    <col min="44" max="44" width="11.1640625" bestFit="1" customWidth="1"/>
    <col min="45" max="45" width="20.3125" bestFit="1" customWidth="1"/>
    <col min="46" max="46" width="12.375" bestFit="1" customWidth="1"/>
    <col min="47" max="47" width="7.3984375" bestFit="1" customWidth="1"/>
    <col min="48" max="48" width="11.02734375" bestFit="1" customWidth="1"/>
    <col min="49" max="50" width="11.296875" bestFit="1" customWidth="1"/>
    <col min="51" max="51" width="11.02734375" bestFit="1" customWidth="1"/>
    <col min="52" max="52" width="12.5078125" bestFit="1" customWidth="1"/>
    <col min="53" max="53" width="14.390625" bestFit="1" customWidth="1"/>
    <col min="54" max="54" width="13.85546875" bestFit="1" customWidth="1"/>
    <col min="55" max="55" width="11.296875" bestFit="1" customWidth="1"/>
    <col min="56" max="56" width="9.953125" bestFit="1" customWidth="1"/>
    <col min="57" max="57" width="19.50390625" bestFit="1" customWidth="1"/>
    <col min="58" max="58" width="11.1640625" bestFit="1" customWidth="1"/>
    <col min="59" max="59" width="15.87109375" bestFit="1" customWidth="1"/>
    <col min="60" max="60" width="11.97265625" bestFit="1" customWidth="1"/>
    <col min="61" max="61" width="21.7890625" bestFit="1" customWidth="1"/>
    <col min="62" max="62" width="13.98828125" bestFit="1" customWidth="1"/>
    <col min="63" max="63" width="25.15234375" bestFit="1" customWidth="1"/>
    <col min="64" max="64" width="8.33984375" bestFit="1" customWidth="1"/>
    <col min="65" max="65" width="17.62109375" bestFit="1" customWidth="1"/>
    <col min="66" max="66" width="16.54296875" bestFit="1" customWidth="1"/>
    <col min="67" max="67" width="22.59765625" bestFit="1" customWidth="1"/>
    <col min="68" max="68" width="17.62109375" bestFit="1" customWidth="1"/>
    <col min="69" max="69" width="18.0234375" bestFit="1" customWidth="1"/>
    <col min="70" max="70" width="12.9140625" bestFit="1" customWidth="1"/>
    <col min="71" max="71" width="22.8671875" bestFit="1" customWidth="1"/>
    <col min="72" max="72" width="9.4140625" bestFit="1" customWidth="1"/>
    <col min="73" max="73" width="26.23046875" bestFit="1" customWidth="1"/>
    <col min="74" max="74" width="23.26953125" bestFit="1" customWidth="1"/>
    <col min="75" max="75" width="16.0078125" bestFit="1" customWidth="1"/>
    <col min="76" max="76" width="10.89453125" bestFit="1" customWidth="1"/>
    <col min="77" max="77" width="26.6328125" bestFit="1" customWidth="1"/>
    <col min="78" max="78" width="14.125" bestFit="1" customWidth="1"/>
    <col min="79" max="79" width="23.80859375" bestFit="1" customWidth="1"/>
    <col min="80" max="80" width="13.71875" bestFit="1" customWidth="1"/>
    <col min="81" max="81" width="13.98828125" bestFit="1" customWidth="1"/>
    <col min="82" max="82" width="14.390625" bestFit="1" customWidth="1"/>
    <col min="83" max="83" width="17.484375" bestFit="1" customWidth="1"/>
    <col min="84" max="84" width="15.6015625" bestFit="1" customWidth="1"/>
    <col min="85" max="85" width="13.1796875" bestFit="1" customWidth="1"/>
    <col min="86" max="86" width="11.703125" bestFit="1" customWidth="1"/>
    <col min="87" max="87" width="11.296875" bestFit="1" customWidth="1"/>
    <col min="88" max="88" width="13.71875" bestFit="1" customWidth="1"/>
    <col min="89" max="89" width="19.234375" bestFit="1" customWidth="1"/>
    <col min="90" max="90" width="14.796875" bestFit="1" customWidth="1"/>
    <col min="91" max="91" width="12.5078125" bestFit="1" customWidth="1"/>
    <col min="92" max="92" width="18.6953125" bestFit="1" customWidth="1"/>
    <col min="93" max="93" width="15.33203125" bestFit="1" customWidth="1"/>
    <col min="94" max="94" width="10.76171875" bestFit="1" customWidth="1"/>
  </cols>
  <sheetData>
    <row r="1" spans="1:10" x14ac:dyDescent="0.2">
      <c r="A1" s="12" t="s">
        <v>1</v>
      </c>
      <c r="B1" t="s">
        <v>145</v>
      </c>
      <c r="I1" s="12" t="s">
        <v>1</v>
      </c>
      <c r="J1" t="s">
        <v>145</v>
      </c>
    </row>
    <row r="3" spans="1:10" x14ac:dyDescent="0.2">
      <c r="A3" s="12" t="s">
        <v>146</v>
      </c>
      <c r="I3" s="12" t="s">
        <v>146</v>
      </c>
    </row>
    <row r="4" spans="1:10" x14ac:dyDescent="0.2">
      <c r="A4" s="13" t="s">
        <v>153</v>
      </c>
      <c r="B4" s="14">
        <v>13557.184782608696</v>
      </c>
      <c r="I4" s="13" t="s">
        <v>161</v>
      </c>
      <c r="J4" s="14">
        <v>14794.510869565218</v>
      </c>
    </row>
    <row r="5" spans="1:10" x14ac:dyDescent="0.2">
      <c r="A5" s="13" t="s">
        <v>154</v>
      </c>
      <c r="B5" s="14">
        <v>5225.173913043478</v>
      </c>
      <c r="I5" s="13" t="s">
        <v>162</v>
      </c>
      <c r="J5" s="14">
        <v>13287.532608695652</v>
      </c>
    </row>
    <row r="6" spans="1:10" x14ac:dyDescent="0.2">
      <c r="A6" s="13" t="s">
        <v>155</v>
      </c>
      <c r="B6" s="14">
        <v>52.484848484848484</v>
      </c>
      <c r="I6" s="13" t="s">
        <v>159</v>
      </c>
      <c r="J6" s="14">
        <v>1259.3222222222223</v>
      </c>
    </row>
    <row r="7" spans="1:10" x14ac:dyDescent="0.2">
      <c r="A7" s="13" t="s">
        <v>156</v>
      </c>
      <c r="B7" s="14">
        <v>20589.66304347826</v>
      </c>
      <c r="I7" s="13" t="s">
        <v>160</v>
      </c>
      <c r="J7" s="14">
        <v>207.81818181818181</v>
      </c>
    </row>
    <row r="8" spans="1:10" x14ac:dyDescent="0.2">
      <c r="A8" s="13" t="s">
        <v>157</v>
      </c>
      <c r="B8" s="14">
        <v>72.015625</v>
      </c>
      <c r="I8" s="13" t="s">
        <v>163</v>
      </c>
      <c r="J8" s="14">
        <v>113.14516129032258</v>
      </c>
    </row>
    <row r="9" spans="1:10" x14ac:dyDescent="0.2">
      <c r="A9" s="13" t="s">
        <v>158</v>
      </c>
      <c r="B9" s="14">
        <v>11.578947368421053</v>
      </c>
      <c r="I9" s="13" t="s">
        <v>164</v>
      </c>
      <c r="J9" s="14">
        <v>4.2758620689655169</v>
      </c>
    </row>
  </sheetData>
  <pageMargins left="0.511811024" right="0.511811024" top="0.78740157499999996" bottom="0.78740157499999996" header="0.31496062000000002" footer="0.3149606200000000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B0B75-E92C-4002-AAF5-45D7912677F4}">
  <dimension ref="A1:V94"/>
  <sheetViews>
    <sheetView topLeftCell="D1" zoomScale="106" zoomScaleNormal="106" workbookViewId="0">
      <selection activeCell="P1" sqref="P1"/>
    </sheetView>
  </sheetViews>
  <sheetFormatPr defaultRowHeight="15" x14ac:dyDescent="0.2"/>
  <cols>
    <col min="1" max="1" width="19.1015625" customWidth="1"/>
    <col min="2" max="2" width="16.6796875" customWidth="1"/>
    <col min="3" max="3" width="13.31640625" customWidth="1"/>
    <col min="4" max="4" width="12.375" customWidth="1"/>
    <col min="5" max="5" width="9.81640625" customWidth="1"/>
    <col min="6" max="6" width="12.375" customWidth="1"/>
    <col min="7" max="7" width="9.4140625" customWidth="1"/>
    <col min="8" max="8" width="11.1640625" customWidth="1"/>
    <col min="9" max="9" width="9.953125" customWidth="1"/>
    <col min="10" max="10" width="21.5234375" customWidth="1"/>
    <col min="11" max="11" width="12.375" customWidth="1"/>
    <col min="12" max="12" width="10.22265625" customWidth="1"/>
    <col min="13" max="13" width="9.68359375" customWidth="1"/>
    <col min="14" max="14" width="10.0859375" customWidth="1"/>
    <col min="15" max="15" width="9.4140625" customWidth="1"/>
    <col min="18" max="18" width="10.89453125" customWidth="1"/>
    <col min="19" max="19" width="12.375" customWidth="1"/>
  </cols>
  <sheetData>
    <row r="1" spans="1:22" x14ac:dyDescent="0.2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147</v>
      </c>
      <c r="I1" s="10" t="s">
        <v>148</v>
      </c>
      <c r="J1" s="11" t="s">
        <v>112</v>
      </c>
      <c r="K1" s="10" t="s">
        <v>149</v>
      </c>
      <c r="L1" s="10" t="s">
        <v>150</v>
      </c>
      <c r="M1" s="10" t="s">
        <v>151</v>
      </c>
      <c r="N1" s="10" t="s">
        <v>152</v>
      </c>
      <c r="O1" s="10" t="s">
        <v>13</v>
      </c>
      <c r="P1" s="10" t="s">
        <v>14</v>
      </c>
      <c r="Q1" s="10" t="s">
        <v>15</v>
      </c>
      <c r="R1" s="10" t="s">
        <v>16</v>
      </c>
      <c r="S1" s="10" t="s">
        <v>17</v>
      </c>
      <c r="T1" s="10" t="s">
        <v>18</v>
      </c>
      <c r="U1" s="10" t="s">
        <v>19</v>
      </c>
      <c r="V1" s="4"/>
    </row>
    <row r="2" spans="1:22" x14ac:dyDescent="0.2">
      <c r="A2" s="5">
        <v>3550308</v>
      </c>
      <c r="B2" s="1" t="s">
        <v>20</v>
      </c>
      <c r="C2" s="5">
        <v>1359</v>
      </c>
      <c r="D2" s="5">
        <v>63.624000000000002</v>
      </c>
      <c r="E2" s="5">
        <v>6362.4</v>
      </c>
      <c r="F2" s="5">
        <v>271.60000000000002</v>
      </c>
      <c r="G2" s="5">
        <v>1728265</v>
      </c>
      <c r="H2" s="5">
        <v>577027</v>
      </c>
      <c r="I2" s="5">
        <v>247842</v>
      </c>
      <c r="J2" s="6">
        <f>I2/G2</f>
        <v>0.14340509123311529</v>
      </c>
      <c r="K2" s="5">
        <v>1464</v>
      </c>
      <c r="L2" s="5">
        <v>899623</v>
      </c>
      <c r="M2" s="5">
        <v>2161</v>
      </c>
      <c r="N2" s="5">
        <v>148</v>
      </c>
      <c r="O2" s="5">
        <v>653891</v>
      </c>
      <c r="P2" s="5">
        <v>653859</v>
      </c>
      <c r="Q2" s="5">
        <v>587061</v>
      </c>
      <c r="R2" s="5">
        <v>56709</v>
      </c>
      <c r="S2" s="5">
        <v>6008</v>
      </c>
      <c r="T2" s="5">
        <v>4081</v>
      </c>
      <c r="U2" s="5">
        <v>32</v>
      </c>
      <c r="V2" s="4"/>
    </row>
    <row r="3" spans="1:22" x14ac:dyDescent="0.2">
      <c r="A3" s="7">
        <v>3518800</v>
      </c>
      <c r="B3" s="2" t="s">
        <v>21</v>
      </c>
      <c r="C3" s="7">
        <v>170</v>
      </c>
      <c r="D3" s="7">
        <v>11.244999999999999</v>
      </c>
      <c r="E3" s="7">
        <v>1124.5</v>
      </c>
      <c r="F3" s="7">
        <v>192.1</v>
      </c>
      <c r="G3" s="7">
        <v>215969</v>
      </c>
      <c r="H3" s="7">
        <v>71565</v>
      </c>
      <c r="I3" s="7">
        <v>27286</v>
      </c>
      <c r="J3" s="8">
        <f t="shared" ref="J3:J66" si="0">I3/G3</f>
        <v>0.12634220652038025</v>
      </c>
      <c r="K3" s="7">
        <v>322</v>
      </c>
      <c r="L3" s="7">
        <v>116522</v>
      </c>
      <c r="M3" s="7">
        <v>265</v>
      </c>
      <c r="N3" s="7">
        <v>9</v>
      </c>
      <c r="O3" s="7">
        <v>76471</v>
      </c>
      <c r="P3" s="7">
        <v>76467</v>
      </c>
      <c r="Q3" s="7">
        <v>69853</v>
      </c>
      <c r="R3" s="7">
        <v>5514</v>
      </c>
      <c r="S3" s="7">
        <v>924</v>
      </c>
      <c r="T3" s="7">
        <v>176</v>
      </c>
      <c r="U3" s="7">
        <v>4</v>
      </c>
      <c r="V3" s="4"/>
    </row>
    <row r="4" spans="1:22" x14ac:dyDescent="0.2">
      <c r="A4" s="5">
        <v>3548708</v>
      </c>
      <c r="B4" s="1" t="s">
        <v>22</v>
      </c>
      <c r="C4" s="5">
        <v>94</v>
      </c>
      <c r="D4" s="5">
        <v>5.2930000000000001</v>
      </c>
      <c r="E4" s="5">
        <v>529.29999999999995</v>
      </c>
      <c r="F4" s="5">
        <v>299</v>
      </c>
      <c r="G4" s="5">
        <v>158274</v>
      </c>
      <c r="H4" s="5">
        <v>61810</v>
      </c>
      <c r="I4" s="5">
        <v>17151</v>
      </c>
      <c r="J4" s="6">
        <f t="shared" si="0"/>
        <v>0.10836271276394101</v>
      </c>
      <c r="K4" s="5">
        <v>159</v>
      </c>
      <c r="L4" s="5">
        <v>78933</v>
      </c>
      <c r="M4" s="5">
        <v>219</v>
      </c>
      <c r="N4" s="5">
        <v>2</v>
      </c>
      <c r="O4" s="5">
        <v>59234</v>
      </c>
      <c r="P4" s="5">
        <v>59231</v>
      </c>
      <c r="Q4" s="5">
        <v>55240</v>
      </c>
      <c r="R4" s="5">
        <v>3604</v>
      </c>
      <c r="S4" s="5">
        <v>366</v>
      </c>
      <c r="T4" s="5">
        <v>21</v>
      </c>
      <c r="U4" s="5">
        <v>3</v>
      </c>
      <c r="V4" s="4"/>
    </row>
    <row r="5" spans="1:22" x14ac:dyDescent="0.2">
      <c r="A5" s="7">
        <v>3509502</v>
      </c>
      <c r="B5" s="2" t="s">
        <v>23</v>
      </c>
      <c r="C5" s="7">
        <v>118</v>
      </c>
      <c r="D5" s="7">
        <v>14.019</v>
      </c>
      <c r="E5" s="7">
        <v>1401.9</v>
      </c>
      <c r="F5" s="7">
        <v>100.4</v>
      </c>
      <c r="G5" s="7">
        <v>140784</v>
      </c>
      <c r="H5" s="7">
        <v>46576</v>
      </c>
      <c r="I5" s="7">
        <v>18788</v>
      </c>
      <c r="J5" s="8">
        <f t="shared" si="0"/>
        <v>0.13345266507557677</v>
      </c>
      <c r="K5" s="7">
        <v>132</v>
      </c>
      <c r="L5" s="7">
        <v>75059</v>
      </c>
      <c r="M5" s="7">
        <v>229</v>
      </c>
      <c r="N5" s="7"/>
      <c r="O5" s="7">
        <v>49646</v>
      </c>
      <c r="P5" s="7">
        <v>49635</v>
      </c>
      <c r="Q5" s="7">
        <v>45629</v>
      </c>
      <c r="R5" s="7">
        <v>3205</v>
      </c>
      <c r="S5" s="7">
        <v>694</v>
      </c>
      <c r="T5" s="7">
        <v>107</v>
      </c>
      <c r="U5" s="7">
        <v>11</v>
      </c>
      <c r="V5" s="4"/>
    </row>
    <row r="6" spans="1:22" x14ac:dyDescent="0.2">
      <c r="A6" s="5">
        <v>3529401</v>
      </c>
      <c r="B6" s="1" t="s">
        <v>24</v>
      </c>
      <c r="C6" s="5">
        <v>60</v>
      </c>
      <c r="D6" s="5">
        <v>5.8680000000000003</v>
      </c>
      <c r="E6" s="5">
        <v>586.79999999999995</v>
      </c>
      <c r="F6" s="5">
        <v>196.4</v>
      </c>
      <c r="G6" s="5">
        <v>115251</v>
      </c>
      <c r="H6" s="5">
        <v>43495</v>
      </c>
      <c r="I6" s="5">
        <v>13103</v>
      </c>
      <c r="J6" s="6">
        <f t="shared" si="0"/>
        <v>0.11369098749685469</v>
      </c>
      <c r="K6" s="5">
        <v>95</v>
      </c>
      <c r="L6" s="5">
        <v>58441</v>
      </c>
      <c r="M6" s="5">
        <v>116</v>
      </c>
      <c r="N6" s="5">
        <v>1</v>
      </c>
      <c r="O6" s="5">
        <v>44161</v>
      </c>
      <c r="P6" s="5">
        <v>44160</v>
      </c>
      <c r="Q6" s="5">
        <v>40127</v>
      </c>
      <c r="R6" s="5">
        <v>3749</v>
      </c>
      <c r="S6" s="5">
        <v>226</v>
      </c>
      <c r="T6" s="5">
        <v>58</v>
      </c>
      <c r="U6" s="5">
        <v>1</v>
      </c>
      <c r="V6" s="4"/>
    </row>
    <row r="7" spans="1:22" x14ac:dyDescent="0.2">
      <c r="A7" s="7">
        <v>3518701</v>
      </c>
      <c r="B7" s="2" t="s">
        <v>25</v>
      </c>
      <c r="C7" s="7">
        <v>55</v>
      </c>
      <c r="D7" s="7">
        <v>6.14</v>
      </c>
      <c r="E7" s="7">
        <v>614</v>
      </c>
      <c r="F7" s="7">
        <v>172.7</v>
      </c>
      <c r="G7" s="7">
        <v>106010</v>
      </c>
      <c r="H7" s="7">
        <v>33936</v>
      </c>
      <c r="I7" s="7">
        <v>12036</v>
      </c>
      <c r="J7" s="8">
        <f t="shared" si="0"/>
        <v>0.11353645882463918</v>
      </c>
      <c r="K7" s="7">
        <v>130</v>
      </c>
      <c r="L7" s="7">
        <v>59709</v>
      </c>
      <c r="M7" s="7">
        <v>194</v>
      </c>
      <c r="N7" s="7">
        <v>5</v>
      </c>
      <c r="O7" s="7">
        <v>39413</v>
      </c>
      <c r="P7" s="7">
        <v>39403</v>
      </c>
      <c r="Q7" s="7">
        <v>34443</v>
      </c>
      <c r="R7" s="7">
        <v>3508</v>
      </c>
      <c r="S7" s="7">
        <v>1349</v>
      </c>
      <c r="T7" s="7">
        <v>103</v>
      </c>
      <c r="U7" s="7">
        <v>10</v>
      </c>
      <c r="V7" s="4"/>
    </row>
    <row r="8" spans="1:22" x14ac:dyDescent="0.2">
      <c r="A8" s="5">
        <v>3547809</v>
      </c>
      <c r="B8" s="1" t="s">
        <v>26</v>
      </c>
      <c r="C8" s="5">
        <v>76</v>
      </c>
      <c r="D8" s="5">
        <v>3.403</v>
      </c>
      <c r="E8" s="5">
        <v>340.3</v>
      </c>
      <c r="F8" s="5">
        <v>291.5</v>
      </c>
      <c r="G8" s="5">
        <v>99187</v>
      </c>
      <c r="H8" s="5">
        <v>37421</v>
      </c>
      <c r="I8" s="5">
        <v>11904</v>
      </c>
      <c r="J8" s="6">
        <f t="shared" si="0"/>
        <v>0.12001572786756329</v>
      </c>
      <c r="K8" s="5">
        <v>66</v>
      </c>
      <c r="L8" s="5">
        <v>49678</v>
      </c>
      <c r="M8" s="5">
        <v>104</v>
      </c>
      <c r="N8" s="5">
        <v>14</v>
      </c>
      <c r="O8" s="5">
        <v>37433</v>
      </c>
      <c r="P8" s="5">
        <v>37431</v>
      </c>
      <c r="Q8" s="5">
        <v>33905</v>
      </c>
      <c r="R8" s="5">
        <v>3000</v>
      </c>
      <c r="S8" s="5">
        <v>479</v>
      </c>
      <c r="T8" s="5">
        <v>47</v>
      </c>
      <c r="U8" s="5">
        <v>2</v>
      </c>
      <c r="V8" s="4"/>
    </row>
    <row r="9" spans="1:22" x14ac:dyDescent="0.2">
      <c r="A9" s="7">
        <v>3534401</v>
      </c>
      <c r="B9" s="2" t="s">
        <v>27</v>
      </c>
      <c r="C9" s="7">
        <v>84</v>
      </c>
      <c r="D9" s="7">
        <v>2.919</v>
      </c>
      <c r="E9" s="7">
        <v>291.89999999999998</v>
      </c>
      <c r="F9" s="7">
        <v>336.4</v>
      </c>
      <c r="G9" s="7">
        <v>98207</v>
      </c>
      <c r="H9" s="7">
        <v>33794</v>
      </c>
      <c r="I9" s="7">
        <v>11901</v>
      </c>
      <c r="J9" s="8">
        <f t="shared" si="0"/>
        <v>0.12118280774282893</v>
      </c>
      <c r="K9" s="7">
        <v>61</v>
      </c>
      <c r="L9" s="7">
        <v>52351</v>
      </c>
      <c r="M9" s="7">
        <v>90</v>
      </c>
      <c r="N9" s="7">
        <v>10</v>
      </c>
      <c r="O9" s="7">
        <v>33927</v>
      </c>
      <c r="P9" s="7">
        <v>33923</v>
      </c>
      <c r="Q9" s="7">
        <v>31491</v>
      </c>
      <c r="R9" s="7">
        <v>1623</v>
      </c>
      <c r="S9" s="7">
        <v>241</v>
      </c>
      <c r="T9" s="7">
        <v>568</v>
      </c>
      <c r="U9" s="7">
        <v>4</v>
      </c>
      <c r="V9" s="4"/>
    </row>
    <row r="10" spans="1:22" x14ac:dyDescent="0.2">
      <c r="A10" s="5">
        <v>3523107</v>
      </c>
      <c r="B10" s="1" t="s">
        <v>28</v>
      </c>
      <c r="C10" s="5">
        <v>69</v>
      </c>
      <c r="D10" s="5">
        <v>7.0940000000000003</v>
      </c>
      <c r="E10" s="5">
        <v>709.4</v>
      </c>
      <c r="F10" s="5">
        <v>128.69999999999999</v>
      </c>
      <c r="G10" s="5">
        <v>91317</v>
      </c>
      <c r="H10" s="5">
        <v>31211</v>
      </c>
      <c r="I10" s="5">
        <v>10239</v>
      </c>
      <c r="J10" s="6">
        <f t="shared" si="0"/>
        <v>0.11212589112651533</v>
      </c>
      <c r="K10" s="5">
        <v>115</v>
      </c>
      <c r="L10" s="5">
        <v>49587</v>
      </c>
      <c r="M10" s="5">
        <v>165</v>
      </c>
      <c r="N10" s="5"/>
      <c r="O10" s="5">
        <v>32846</v>
      </c>
      <c r="P10" s="5">
        <v>32845</v>
      </c>
      <c r="Q10" s="5">
        <v>29208</v>
      </c>
      <c r="R10" s="5">
        <v>3152</v>
      </c>
      <c r="S10" s="5">
        <v>464</v>
      </c>
      <c r="T10" s="5">
        <v>21</v>
      </c>
      <c r="U10" s="5">
        <v>1</v>
      </c>
      <c r="V10" s="4"/>
    </row>
    <row r="11" spans="1:22" x14ac:dyDescent="0.2">
      <c r="A11" s="7">
        <v>3513801</v>
      </c>
      <c r="B11" s="2" t="s">
        <v>29</v>
      </c>
      <c r="C11" s="7">
        <v>109</v>
      </c>
      <c r="D11" s="7">
        <v>2.1760000000000002</v>
      </c>
      <c r="E11" s="7">
        <v>217.6</v>
      </c>
      <c r="F11" s="7">
        <v>403.9</v>
      </c>
      <c r="G11" s="7">
        <v>87887</v>
      </c>
      <c r="H11" s="7">
        <v>33814</v>
      </c>
      <c r="I11" s="7">
        <v>9612</v>
      </c>
      <c r="J11" s="8">
        <f t="shared" si="0"/>
        <v>0.10936771081047254</v>
      </c>
      <c r="K11" s="7">
        <v>85</v>
      </c>
      <c r="L11" s="7">
        <v>44331</v>
      </c>
      <c r="M11" s="7">
        <v>43</v>
      </c>
      <c r="N11" s="7">
        <v>2</v>
      </c>
      <c r="O11" s="7">
        <v>33125</v>
      </c>
      <c r="P11" s="7">
        <v>33124</v>
      </c>
      <c r="Q11" s="7">
        <v>30912</v>
      </c>
      <c r="R11" s="7">
        <v>2051</v>
      </c>
      <c r="S11" s="7">
        <v>154</v>
      </c>
      <c r="T11" s="7">
        <v>7</v>
      </c>
      <c r="U11" s="7">
        <v>1</v>
      </c>
      <c r="V11" s="4"/>
    </row>
    <row r="12" spans="1:22" x14ac:dyDescent="0.2">
      <c r="A12" s="5">
        <v>3551009</v>
      </c>
      <c r="B12" s="1" t="s">
        <v>30</v>
      </c>
      <c r="C12" s="5">
        <v>38</v>
      </c>
      <c r="D12" s="5">
        <v>6.5789999999999997</v>
      </c>
      <c r="E12" s="5">
        <v>657.9</v>
      </c>
      <c r="F12" s="5">
        <v>130.19999999999999</v>
      </c>
      <c r="G12" s="5">
        <v>85652</v>
      </c>
      <c r="H12" s="5">
        <v>28535</v>
      </c>
      <c r="I12" s="5">
        <v>11987</v>
      </c>
      <c r="J12" s="6">
        <f t="shared" si="0"/>
        <v>0.13995003035539158</v>
      </c>
      <c r="K12" s="5">
        <v>70</v>
      </c>
      <c r="L12" s="5">
        <v>44966</v>
      </c>
      <c r="M12" s="5">
        <v>91</v>
      </c>
      <c r="N12" s="5">
        <v>3</v>
      </c>
      <c r="O12" s="5">
        <v>32562</v>
      </c>
      <c r="P12" s="5">
        <v>32558</v>
      </c>
      <c r="Q12" s="5">
        <v>28888</v>
      </c>
      <c r="R12" s="5">
        <v>3408</v>
      </c>
      <c r="S12" s="5">
        <v>162</v>
      </c>
      <c r="T12" s="5">
        <v>100</v>
      </c>
      <c r="U12" s="5">
        <v>4</v>
      </c>
      <c r="V12" s="4"/>
    </row>
    <row r="13" spans="1:22" x14ac:dyDescent="0.2">
      <c r="A13" s="7">
        <v>3510609</v>
      </c>
      <c r="B13" s="2" t="s">
        <v>31</v>
      </c>
      <c r="C13" s="7">
        <v>66</v>
      </c>
      <c r="D13" s="7">
        <v>2.0219999999999998</v>
      </c>
      <c r="E13" s="7">
        <v>202.2</v>
      </c>
      <c r="F13" s="7">
        <v>299.5</v>
      </c>
      <c r="G13" s="7">
        <v>60562</v>
      </c>
      <c r="H13" s="7">
        <v>21069</v>
      </c>
      <c r="I13" s="7">
        <v>7881</v>
      </c>
      <c r="J13" s="8">
        <f t="shared" si="0"/>
        <v>0.13013110531356295</v>
      </c>
      <c r="K13" s="7">
        <v>47</v>
      </c>
      <c r="L13" s="7">
        <v>31494</v>
      </c>
      <c r="M13" s="7">
        <v>61</v>
      </c>
      <c r="N13" s="7">
        <v>10</v>
      </c>
      <c r="O13" s="7">
        <v>21692</v>
      </c>
      <c r="P13" s="7">
        <v>21692</v>
      </c>
      <c r="Q13" s="7">
        <v>20409</v>
      </c>
      <c r="R13" s="7">
        <v>1165</v>
      </c>
      <c r="S13" s="7">
        <v>103</v>
      </c>
      <c r="T13" s="7">
        <v>15</v>
      </c>
      <c r="U13" s="7"/>
      <c r="V13" s="4"/>
    </row>
    <row r="14" spans="1:22" x14ac:dyDescent="0.2">
      <c r="A14" s="5">
        <v>3515004</v>
      </c>
      <c r="B14" s="1" t="s">
        <v>32</v>
      </c>
      <c r="C14" s="5">
        <v>59</v>
      </c>
      <c r="D14" s="5">
        <v>4.5810000000000004</v>
      </c>
      <c r="E14" s="5">
        <v>458.1</v>
      </c>
      <c r="F14" s="5">
        <v>116.3</v>
      </c>
      <c r="G14" s="5">
        <v>53297</v>
      </c>
      <c r="H14" s="5">
        <v>16373</v>
      </c>
      <c r="I14" s="5">
        <v>8063</v>
      </c>
      <c r="J14" s="6">
        <f t="shared" si="0"/>
        <v>0.15128431243784829</v>
      </c>
      <c r="K14" s="5">
        <v>49</v>
      </c>
      <c r="L14" s="5">
        <v>28755</v>
      </c>
      <c r="M14" s="5">
        <v>50</v>
      </c>
      <c r="N14" s="5">
        <v>7</v>
      </c>
      <c r="O14" s="5">
        <v>21312</v>
      </c>
      <c r="P14" s="5">
        <v>21312</v>
      </c>
      <c r="Q14" s="5">
        <v>18218</v>
      </c>
      <c r="R14" s="5">
        <v>2105</v>
      </c>
      <c r="S14" s="5">
        <v>923</v>
      </c>
      <c r="T14" s="5">
        <v>66</v>
      </c>
      <c r="U14" s="5"/>
      <c r="V14" s="4"/>
    </row>
    <row r="15" spans="1:22" x14ac:dyDescent="0.2">
      <c r="A15" s="7">
        <v>3548500</v>
      </c>
      <c r="B15" s="2" t="s">
        <v>33</v>
      </c>
      <c r="C15" s="7">
        <v>46</v>
      </c>
      <c r="D15" s="7">
        <v>5.1289999999999996</v>
      </c>
      <c r="E15" s="7">
        <v>512.9</v>
      </c>
      <c r="F15" s="7">
        <v>90.2</v>
      </c>
      <c r="G15" s="7">
        <v>46262</v>
      </c>
      <c r="H15" s="7">
        <v>18279</v>
      </c>
      <c r="I15" s="7">
        <v>5887</v>
      </c>
      <c r="J15" s="8">
        <f t="shared" si="0"/>
        <v>0.12725346937010937</v>
      </c>
      <c r="K15" s="7">
        <v>64</v>
      </c>
      <c r="L15" s="7">
        <v>21990</v>
      </c>
      <c r="M15" s="7">
        <v>41</v>
      </c>
      <c r="N15" s="7">
        <v>1</v>
      </c>
      <c r="O15" s="7">
        <v>19257</v>
      </c>
      <c r="P15" s="7">
        <v>19249</v>
      </c>
      <c r="Q15" s="7">
        <v>16841</v>
      </c>
      <c r="R15" s="7">
        <v>2006</v>
      </c>
      <c r="S15" s="7">
        <v>396</v>
      </c>
      <c r="T15" s="7">
        <v>6</v>
      </c>
      <c r="U15" s="7">
        <v>8</v>
      </c>
      <c r="V15" s="4"/>
    </row>
    <row r="16" spans="1:22" x14ac:dyDescent="0.2">
      <c r="A16" s="5">
        <v>3552809</v>
      </c>
      <c r="B16" s="1" t="s">
        <v>34</v>
      </c>
      <c r="C16" s="5">
        <v>29</v>
      </c>
      <c r="D16" s="5">
        <v>1.38</v>
      </c>
      <c r="E16" s="5">
        <v>138</v>
      </c>
      <c r="F16" s="5">
        <v>304.60000000000002</v>
      </c>
      <c r="G16" s="5">
        <v>42031</v>
      </c>
      <c r="H16" s="5">
        <v>14457</v>
      </c>
      <c r="I16" s="5">
        <v>5980</v>
      </c>
      <c r="J16" s="6">
        <f t="shared" si="0"/>
        <v>0.14227593918774237</v>
      </c>
      <c r="K16" s="5">
        <v>62</v>
      </c>
      <c r="L16" s="5">
        <v>21487</v>
      </c>
      <c r="M16" s="5">
        <v>45</v>
      </c>
      <c r="N16" s="5"/>
      <c r="O16" s="5">
        <v>16009</v>
      </c>
      <c r="P16" s="5">
        <v>16009</v>
      </c>
      <c r="Q16" s="5">
        <v>14586</v>
      </c>
      <c r="R16" s="5">
        <v>1264</v>
      </c>
      <c r="S16" s="5">
        <v>152</v>
      </c>
      <c r="T16" s="5">
        <v>7</v>
      </c>
      <c r="U16" s="5"/>
      <c r="V16" s="4"/>
    </row>
    <row r="17" spans="1:22" x14ac:dyDescent="0.2">
      <c r="A17" s="7">
        <v>3513504</v>
      </c>
      <c r="B17" s="2" t="s">
        <v>35</v>
      </c>
      <c r="C17" s="7">
        <v>12</v>
      </c>
      <c r="D17" s="7">
        <v>3.0739999999999998</v>
      </c>
      <c r="E17" s="7">
        <v>307.39999999999998</v>
      </c>
      <c r="F17" s="7">
        <v>119.5</v>
      </c>
      <c r="G17" s="7">
        <v>36724</v>
      </c>
      <c r="H17" s="7">
        <v>11592</v>
      </c>
      <c r="I17" s="7">
        <v>4587</v>
      </c>
      <c r="J17" s="8">
        <f t="shared" si="0"/>
        <v>0.12490469447772574</v>
      </c>
      <c r="K17" s="7">
        <v>8</v>
      </c>
      <c r="L17" s="7">
        <v>20503</v>
      </c>
      <c r="M17" s="7">
        <v>34</v>
      </c>
      <c r="N17" s="7"/>
      <c r="O17" s="7">
        <v>15221</v>
      </c>
      <c r="P17" s="7">
        <v>15218</v>
      </c>
      <c r="Q17" s="7">
        <v>12921</v>
      </c>
      <c r="R17" s="7">
        <v>2020</v>
      </c>
      <c r="S17" s="7">
        <v>274</v>
      </c>
      <c r="T17" s="7">
        <v>3</v>
      </c>
      <c r="U17" s="7">
        <v>3</v>
      </c>
      <c r="V17" s="4"/>
    </row>
    <row r="18" spans="1:22" x14ac:dyDescent="0.2">
      <c r="A18" s="5">
        <v>3515707</v>
      </c>
      <c r="B18" s="1" t="s">
        <v>36</v>
      </c>
      <c r="C18" s="5">
        <v>38</v>
      </c>
      <c r="D18" s="5">
        <v>2.4209999999999998</v>
      </c>
      <c r="E18" s="5">
        <v>242.1</v>
      </c>
      <c r="F18" s="5">
        <v>126.5</v>
      </c>
      <c r="G18" s="5">
        <v>30629</v>
      </c>
      <c r="H18" s="5">
        <v>10510</v>
      </c>
      <c r="I18" s="5">
        <v>4141</v>
      </c>
      <c r="J18" s="6">
        <f t="shared" si="0"/>
        <v>0.1351986679290868</v>
      </c>
      <c r="K18" s="5">
        <v>18</v>
      </c>
      <c r="L18" s="5">
        <v>15914</v>
      </c>
      <c r="M18" s="5">
        <v>45</v>
      </c>
      <c r="N18" s="5">
        <v>1</v>
      </c>
      <c r="O18" s="5">
        <v>11265</v>
      </c>
      <c r="P18" s="5">
        <v>11263</v>
      </c>
      <c r="Q18" s="5">
        <v>9872</v>
      </c>
      <c r="R18" s="5">
        <v>1137</v>
      </c>
      <c r="S18" s="5">
        <v>142</v>
      </c>
      <c r="T18" s="5">
        <v>112</v>
      </c>
      <c r="U18" s="5">
        <v>2</v>
      </c>
      <c r="V18" s="4"/>
    </row>
    <row r="19" spans="1:22" x14ac:dyDescent="0.2">
      <c r="A19" s="7">
        <v>3550704</v>
      </c>
      <c r="B19" s="2" t="s">
        <v>37</v>
      </c>
      <c r="C19" s="7">
        <v>23</v>
      </c>
      <c r="D19" s="7">
        <v>3.8570000000000002</v>
      </c>
      <c r="E19" s="7">
        <v>385.7</v>
      </c>
      <c r="F19" s="7">
        <v>63.8</v>
      </c>
      <c r="G19" s="7">
        <v>24619</v>
      </c>
      <c r="H19" s="7">
        <v>8245</v>
      </c>
      <c r="I19" s="7">
        <v>3030</v>
      </c>
      <c r="J19" s="8">
        <f t="shared" si="0"/>
        <v>0.12307567326048986</v>
      </c>
      <c r="K19" s="7">
        <v>36</v>
      </c>
      <c r="L19" s="7">
        <v>13270</v>
      </c>
      <c r="M19" s="7">
        <v>37</v>
      </c>
      <c r="N19" s="7">
        <v>1</v>
      </c>
      <c r="O19" s="7">
        <v>10045</v>
      </c>
      <c r="P19" s="7">
        <v>10041</v>
      </c>
      <c r="Q19" s="7">
        <v>8293</v>
      </c>
      <c r="R19" s="7">
        <v>1005</v>
      </c>
      <c r="S19" s="7">
        <v>734</v>
      </c>
      <c r="T19" s="7">
        <v>9</v>
      </c>
      <c r="U19" s="7">
        <v>4</v>
      </c>
      <c r="V19" s="4"/>
    </row>
    <row r="20" spans="1:22" x14ac:dyDescent="0.2">
      <c r="A20" s="5">
        <v>3543402</v>
      </c>
      <c r="B20" s="1" t="s">
        <v>38</v>
      </c>
      <c r="C20" s="5">
        <v>47</v>
      </c>
      <c r="D20" s="5">
        <v>1.7949999999999999</v>
      </c>
      <c r="E20" s="5">
        <v>179.5</v>
      </c>
      <c r="F20" s="5">
        <v>132.5</v>
      </c>
      <c r="G20" s="5">
        <v>23781</v>
      </c>
      <c r="H20" s="5">
        <v>6735</v>
      </c>
      <c r="I20" s="5">
        <v>3289</v>
      </c>
      <c r="J20" s="6">
        <f t="shared" si="0"/>
        <v>0.13830368781800598</v>
      </c>
      <c r="K20" s="5">
        <v>10</v>
      </c>
      <c r="L20" s="5">
        <v>13719</v>
      </c>
      <c r="M20" s="5">
        <v>26</v>
      </c>
      <c r="N20" s="5">
        <v>2</v>
      </c>
      <c r="O20" s="5">
        <v>8806</v>
      </c>
      <c r="P20" s="5">
        <v>8806</v>
      </c>
      <c r="Q20" s="5">
        <v>7728</v>
      </c>
      <c r="R20" s="5">
        <v>782</v>
      </c>
      <c r="S20" s="5">
        <v>115</v>
      </c>
      <c r="T20" s="5">
        <v>181</v>
      </c>
      <c r="U20" s="5"/>
      <c r="V20" s="4"/>
    </row>
    <row r="21" spans="1:22" x14ac:dyDescent="0.2">
      <c r="A21" s="7">
        <v>3516309</v>
      </c>
      <c r="B21" s="2" t="s">
        <v>39</v>
      </c>
      <c r="C21" s="7">
        <v>36</v>
      </c>
      <c r="D21" s="7">
        <v>2.4969999999999999</v>
      </c>
      <c r="E21" s="7">
        <v>249.7</v>
      </c>
      <c r="F21" s="7">
        <v>90.7</v>
      </c>
      <c r="G21" s="7">
        <v>22646</v>
      </c>
      <c r="H21" s="7">
        <v>7521</v>
      </c>
      <c r="I21" s="7">
        <v>3482</v>
      </c>
      <c r="J21" s="8">
        <f t="shared" si="0"/>
        <v>0.15375783802879095</v>
      </c>
      <c r="K21" s="7">
        <v>14</v>
      </c>
      <c r="L21" s="7">
        <v>11602</v>
      </c>
      <c r="M21" s="7">
        <v>27</v>
      </c>
      <c r="N21" s="7"/>
      <c r="O21" s="7">
        <v>8363</v>
      </c>
      <c r="P21" s="7">
        <v>8363</v>
      </c>
      <c r="Q21" s="7">
        <v>7682</v>
      </c>
      <c r="R21" s="7">
        <v>630</v>
      </c>
      <c r="S21" s="7">
        <v>50</v>
      </c>
      <c r="T21" s="7">
        <v>1</v>
      </c>
      <c r="U21" s="7"/>
      <c r="V21" s="4"/>
    </row>
    <row r="22" spans="1:22" x14ac:dyDescent="0.2">
      <c r="A22" s="5">
        <v>3541000</v>
      </c>
      <c r="B22" s="1" t="s">
        <v>40</v>
      </c>
      <c r="C22" s="5">
        <v>12</v>
      </c>
      <c r="D22" s="5">
        <v>2.125</v>
      </c>
      <c r="E22" s="5">
        <v>212.5</v>
      </c>
      <c r="F22" s="5">
        <v>100.3</v>
      </c>
      <c r="G22" s="5">
        <v>21315</v>
      </c>
      <c r="H22" s="5">
        <v>7362</v>
      </c>
      <c r="I22" s="5">
        <v>2629</v>
      </c>
      <c r="J22" s="6">
        <f t="shared" si="0"/>
        <v>0.12334037063101103</v>
      </c>
      <c r="K22" s="5">
        <v>23</v>
      </c>
      <c r="L22" s="5">
        <v>11290</v>
      </c>
      <c r="M22" s="5">
        <v>10</v>
      </c>
      <c r="N22" s="5">
        <v>1</v>
      </c>
      <c r="O22" s="5">
        <v>8214</v>
      </c>
      <c r="P22" s="5">
        <v>8212</v>
      </c>
      <c r="Q22" s="5">
        <v>6962</v>
      </c>
      <c r="R22" s="5">
        <v>1074</v>
      </c>
      <c r="S22" s="5">
        <v>157</v>
      </c>
      <c r="T22" s="5">
        <v>19</v>
      </c>
      <c r="U22" s="5">
        <v>2</v>
      </c>
      <c r="V22" s="4"/>
    </row>
    <row r="23" spans="1:22" x14ac:dyDescent="0.2">
      <c r="A23" s="7">
        <v>3552502</v>
      </c>
      <c r="B23" s="2" t="s">
        <v>41</v>
      </c>
      <c r="C23" s="7">
        <v>21</v>
      </c>
      <c r="D23" s="7">
        <v>1.85</v>
      </c>
      <c r="E23" s="7">
        <v>185</v>
      </c>
      <c r="F23" s="7">
        <v>114.2</v>
      </c>
      <c r="G23" s="7">
        <v>21126</v>
      </c>
      <c r="H23" s="7">
        <v>7131</v>
      </c>
      <c r="I23" s="7">
        <v>2600</v>
      </c>
      <c r="J23" s="8">
        <f t="shared" si="0"/>
        <v>0.12307109722616681</v>
      </c>
      <c r="K23" s="7">
        <v>41</v>
      </c>
      <c r="L23" s="7">
        <v>11322</v>
      </c>
      <c r="M23" s="7">
        <v>31</v>
      </c>
      <c r="N23" s="7">
        <v>1</v>
      </c>
      <c r="O23" s="7">
        <v>7586</v>
      </c>
      <c r="P23" s="7">
        <v>7584</v>
      </c>
      <c r="Q23" s="7">
        <v>6754</v>
      </c>
      <c r="R23" s="7">
        <v>696</v>
      </c>
      <c r="S23" s="7">
        <v>122</v>
      </c>
      <c r="T23" s="7">
        <v>12</v>
      </c>
      <c r="U23" s="7">
        <v>2</v>
      </c>
      <c r="V23" s="4"/>
    </row>
    <row r="24" spans="1:22" x14ac:dyDescent="0.2">
      <c r="A24" s="5">
        <v>3525904</v>
      </c>
      <c r="B24" s="1" t="s">
        <v>42</v>
      </c>
      <c r="C24" s="5">
        <v>9</v>
      </c>
      <c r="D24" s="5">
        <v>0.86699999999999999</v>
      </c>
      <c r="E24" s="5">
        <v>86.7</v>
      </c>
      <c r="F24" s="5">
        <v>207.6</v>
      </c>
      <c r="G24" s="5">
        <v>17999</v>
      </c>
      <c r="H24" s="5">
        <v>7374</v>
      </c>
      <c r="I24" s="5">
        <v>1687</v>
      </c>
      <c r="J24" s="6">
        <f t="shared" si="0"/>
        <v>9.3727429301627863E-2</v>
      </c>
      <c r="K24" s="5">
        <v>37</v>
      </c>
      <c r="L24" s="5">
        <v>8878</v>
      </c>
      <c r="M24" s="5">
        <v>23</v>
      </c>
      <c r="N24" s="5"/>
      <c r="O24" s="5">
        <v>6025</v>
      </c>
      <c r="P24" s="5">
        <v>6025</v>
      </c>
      <c r="Q24" s="5">
        <v>5802</v>
      </c>
      <c r="R24" s="5">
        <v>194</v>
      </c>
      <c r="S24" s="5">
        <v>24</v>
      </c>
      <c r="T24" s="5">
        <v>5</v>
      </c>
      <c r="U24" s="5"/>
      <c r="V24" s="4"/>
    </row>
    <row r="25" spans="1:22" x14ac:dyDescent="0.2">
      <c r="A25" s="7">
        <v>3530607</v>
      </c>
      <c r="B25" s="2" t="s">
        <v>43</v>
      </c>
      <c r="C25" s="7">
        <v>16</v>
      </c>
      <c r="D25" s="7">
        <v>1.9490000000000001</v>
      </c>
      <c r="E25" s="7">
        <v>194.9</v>
      </c>
      <c r="F25" s="7">
        <v>90.5</v>
      </c>
      <c r="G25" s="7">
        <v>17634</v>
      </c>
      <c r="H25" s="7">
        <v>5980</v>
      </c>
      <c r="I25" s="7">
        <v>2469</v>
      </c>
      <c r="J25" s="8">
        <f t="shared" si="0"/>
        <v>0.14001361007145288</v>
      </c>
      <c r="K25" s="7">
        <v>45</v>
      </c>
      <c r="L25" s="7">
        <v>9105</v>
      </c>
      <c r="M25" s="7">
        <v>35</v>
      </c>
      <c r="N25" s="7"/>
      <c r="O25" s="7">
        <v>6299</v>
      </c>
      <c r="P25" s="7">
        <v>6299</v>
      </c>
      <c r="Q25" s="7">
        <v>5662</v>
      </c>
      <c r="R25" s="7">
        <v>534</v>
      </c>
      <c r="S25" s="7">
        <v>97</v>
      </c>
      <c r="T25" s="7">
        <v>6</v>
      </c>
      <c r="U25" s="7"/>
      <c r="V25" s="4"/>
    </row>
    <row r="26" spans="1:22" x14ac:dyDescent="0.2">
      <c r="A26" s="5">
        <v>3506359</v>
      </c>
      <c r="B26" s="1" t="s">
        <v>44</v>
      </c>
      <c r="C26" s="5">
        <v>24</v>
      </c>
      <c r="D26" s="5">
        <v>4.0140000000000002</v>
      </c>
      <c r="E26" s="5">
        <v>401.4</v>
      </c>
      <c r="F26" s="5">
        <v>40.9</v>
      </c>
      <c r="G26" s="5">
        <v>16400</v>
      </c>
      <c r="H26" s="5">
        <v>4992</v>
      </c>
      <c r="I26" s="5">
        <v>1997</v>
      </c>
      <c r="J26" s="6">
        <f t="shared" si="0"/>
        <v>0.12176829268292683</v>
      </c>
      <c r="K26" s="5">
        <v>41</v>
      </c>
      <c r="L26" s="5">
        <v>9296</v>
      </c>
      <c r="M26" s="5">
        <v>74</v>
      </c>
      <c r="N26" s="5"/>
      <c r="O26" s="5">
        <v>6995</v>
      </c>
      <c r="P26" s="5">
        <v>6991</v>
      </c>
      <c r="Q26" s="5">
        <v>5583</v>
      </c>
      <c r="R26" s="5">
        <v>550</v>
      </c>
      <c r="S26" s="5">
        <v>814</v>
      </c>
      <c r="T26" s="5">
        <v>44</v>
      </c>
      <c r="U26" s="5">
        <v>4</v>
      </c>
      <c r="V26" s="4"/>
    </row>
    <row r="27" spans="1:22" x14ac:dyDescent="0.2">
      <c r="A27" s="7">
        <v>3555406</v>
      </c>
      <c r="B27" s="2" t="s">
        <v>45</v>
      </c>
      <c r="C27" s="7">
        <v>18</v>
      </c>
      <c r="D27" s="7">
        <v>5.5090000000000003</v>
      </c>
      <c r="E27" s="7">
        <v>550.9</v>
      </c>
      <c r="F27" s="7">
        <v>29.7</v>
      </c>
      <c r="G27" s="7">
        <v>16382</v>
      </c>
      <c r="H27" s="7">
        <v>6355</v>
      </c>
      <c r="I27" s="7">
        <v>1906</v>
      </c>
      <c r="J27" s="8">
        <f t="shared" si="0"/>
        <v>0.11634721035282627</v>
      </c>
      <c r="K27" s="7">
        <v>27</v>
      </c>
      <c r="L27" s="7">
        <v>8036</v>
      </c>
      <c r="M27" s="7">
        <v>58</v>
      </c>
      <c r="N27" s="7"/>
      <c r="O27" s="7">
        <v>6878</v>
      </c>
      <c r="P27" s="7">
        <v>6868</v>
      </c>
      <c r="Q27" s="7">
        <v>5496</v>
      </c>
      <c r="R27" s="7">
        <v>740</v>
      </c>
      <c r="S27" s="7">
        <v>614</v>
      </c>
      <c r="T27" s="7">
        <v>18</v>
      </c>
      <c r="U27" s="7">
        <v>10</v>
      </c>
      <c r="V27" s="4"/>
    </row>
    <row r="28" spans="1:22" x14ac:dyDescent="0.2">
      <c r="A28" s="5">
        <v>3556503</v>
      </c>
      <c r="B28" s="1" t="s">
        <v>46</v>
      </c>
      <c r="C28" s="5">
        <v>3</v>
      </c>
      <c r="D28" s="5">
        <v>0.80600000000000005</v>
      </c>
      <c r="E28" s="5">
        <v>80.599999999999994</v>
      </c>
      <c r="F28" s="5">
        <v>191.2</v>
      </c>
      <c r="G28" s="5">
        <v>15411</v>
      </c>
      <c r="H28" s="5">
        <v>5852</v>
      </c>
      <c r="I28" s="5">
        <v>1746</v>
      </c>
      <c r="J28" s="6">
        <f t="shared" si="0"/>
        <v>0.11329569787813899</v>
      </c>
      <c r="K28" s="5">
        <v>7</v>
      </c>
      <c r="L28" s="5">
        <v>7803</v>
      </c>
      <c r="M28" s="5">
        <v>3</v>
      </c>
      <c r="N28" s="5"/>
      <c r="O28" s="5">
        <v>5235</v>
      </c>
      <c r="P28" s="5">
        <v>5234</v>
      </c>
      <c r="Q28" s="5">
        <v>4968</v>
      </c>
      <c r="R28" s="5">
        <v>235</v>
      </c>
      <c r="S28" s="5">
        <v>28</v>
      </c>
      <c r="T28" s="5">
        <v>3</v>
      </c>
      <c r="U28" s="5">
        <v>1</v>
      </c>
      <c r="V28" s="4"/>
    </row>
    <row r="29" spans="1:22" x14ac:dyDescent="0.2">
      <c r="A29" s="7">
        <v>3516408</v>
      </c>
      <c r="B29" s="2" t="s">
        <v>47</v>
      </c>
      <c r="C29" s="7">
        <v>25</v>
      </c>
      <c r="D29" s="7">
        <v>1.8</v>
      </c>
      <c r="E29" s="7">
        <v>180</v>
      </c>
      <c r="F29" s="7">
        <v>81.8</v>
      </c>
      <c r="G29" s="7">
        <v>14726</v>
      </c>
      <c r="H29" s="7">
        <v>4852</v>
      </c>
      <c r="I29" s="7">
        <v>2106</v>
      </c>
      <c r="J29" s="8">
        <f t="shared" si="0"/>
        <v>0.14301235909276111</v>
      </c>
      <c r="K29" s="7">
        <v>15</v>
      </c>
      <c r="L29" s="7">
        <v>7739</v>
      </c>
      <c r="M29" s="7">
        <v>14</v>
      </c>
      <c r="N29" s="7"/>
      <c r="O29" s="7">
        <v>5492</v>
      </c>
      <c r="P29" s="7">
        <v>5492</v>
      </c>
      <c r="Q29" s="7">
        <v>4874</v>
      </c>
      <c r="R29" s="7">
        <v>436</v>
      </c>
      <c r="S29" s="7">
        <v>176</v>
      </c>
      <c r="T29" s="7">
        <v>6</v>
      </c>
      <c r="U29" s="7"/>
      <c r="V29" s="4"/>
    </row>
    <row r="30" spans="1:22" x14ac:dyDescent="0.2">
      <c r="A30" s="5">
        <v>3522208</v>
      </c>
      <c r="B30" s="1" t="s">
        <v>48</v>
      </c>
      <c r="C30" s="5">
        <v>20</v>
      </c>
      <c r="D30" s="5">
        <v>1.3080000000000001</v>
      </c>
      <c r="E30" s="5">
        <v>130.80000000000001</v>
      </c>
      <c r="F30" s="5">
        <v>108.1</v>
      </c>
      <c r="G30" s="5">
        <v>14140</v>
      </c>
      <c r="H30" s="5">
        <v>4786</v>
      </c>
      <c r="I30" s="5">
        <v>2266</v>
      </c>
      <c r="J30" s="6">
        <f t="shared" si="0"/>
        <v>0.16025459688826024</v>
      </c>
      <c r="K30" s="5">
        <v>19</v>
      </c>
      <c r="L30" s="5">
        <v>7042</v>
      </c>
      <c r="M30" s="5">
        <v>26</v>
      </c>
      <c r="N30" s="5">
        <v>1</v>
      </c>
      <c r="O30" s="5">
        <v>5909</v>
      </c>
      <c r="P30" s="5">
        <v>5909</v>
      </c>
      <c r="Q30" s="5">
        <v>4911</v>
      </c>
      <c r="R30" s="5">
        <v>629</v>
      </c>
      <c r="S30" s="5">
        <v>359</v>
      </c>
      <c r="T30" s="5">
        <v>10</v>
      </c>
      <c r="U30" s="5"/>
      <c r="V30" s="4"/>
    </row>
    <row r="31" spans="1:22" x14ac:dyDescent="0.2">
      <c r="A31" s="7">
        <v>3522505</v>
      </c>
      <c r="B31" s="2" t="s">
        <v>49</v>
      </c>
      <c r="C31" s="7">
        <v>20</v>
      </c>
      <c r="D31" s="7">
        <v>0.65600000000000003</v>
      </c>
      <c r="E31" s="7">
        <v>65.599999999999994</v>
      </c>
      <c r="F31" s="7">
        <v>212.1</v>
      </c>
      <c r="G31" s="7">
        <v>13911</v>
      </c>
      <c r="H31" s="7">
        <v>3530</v>
      </c>
      <c r="I31" s="7">
        <v>1448</v>
      </c>
      <c r="J31" s="8">
        <f t="shared" si="0"/>
        <v>0.10409028826108835</v>
      </c>
      <c r="K31" s="7">
        <v>17</v>
      </c>
      <c r="L31" s="7">
        <v>8909</v>
      </c>
      <c r="M31" s="7">
        <v>7</v>
      </c>
      <c r="N31" s="7"/>
      <c r="O31" s="7">
        <v>5059</v>
      </c>
      <c r="P31" s="7">
        <v>5059</v>
      </c>
      <c r="Q31" s="7">
        <v>4898</v>
      </c>
      <c r="R31" s="7">
        <v>130</v>
      </c>
      <c r="S31" s="7">
        <v>12</v>
      </c>
      <c r="T31" s="7">
        <v>19</v>
      </c>
      <c r="U31" s="7"/>
      <c r="V31" s="4"/>
    </row>
    <row r="32" spans="1:22" x14ac:dyDescent="0.2">
      <c r="A32" s="5">
        <v>3552205</v>
      </c>
      <c r="B32" s="1" t="s">
        <v>50</v>
      </c>
      <c r="C32" s="5">
        <v>22</v>
      </c>
      <c r="D32" s="5">
        <v>2.1560000000000001</v>
      </c>
      <c r="E32" s="5">
        <v>215.6</v>
      </c>
      <c r="F32" s="5">
        <v>57.7</v>
      </c>
      <c r="G32" s="5">
        <v>12433</v>
      </c>
      <c r="H32" s="5">
        <v>5692</v>
      </c>
      <c r="I32" s="5">
        <v>1263</v>
      </c>
      <c r="J32" s="6">
        <f t="shared" si="0"/>
        <v>0.10158449288184671</v>
      </c>
      <c r="K32" s="5">
        <v>14</v>
      </c>
      <c r="L32" s="5">
        <v>5457</v>
      </c>
      <c r="M32" s="5">
        <v>6</v>
      </c>
      <c r="N32" s="5">
        <v>1</v>
      </c>
      <c r="O32" s="5">
        <v>4518</v>
      </c>
      <c r="P32" s="5">
        <v>4517</v>
      </c>
      <c r="Q32" s="5">
        <v>3911</v>
      </c>
      <c r="R32" s="5">
        <v>416</v>
      </c>
      <c r="S32" s="5">
        <v>99</v>
      </c>
      <c r="T32" s="5">
        <v>91</v>
      </c>
      <c r="U32" s="5">
        <v>1</v>
      </c>
      <c r="V32" s="4"/>
    </row>
    <row r="33" spans="1:22" x14ac:dyDescent="0.2">
      <c r="A33" s="7">
        <v>3552403</v>
      </c>
      <c r="B33" s="2" t="s">
        <v>51</v>
      </c>
      <c r="C33" s="7">
        <v>13</v>
      </c>
      <c r="D33" s="7">
        <v>1.4690000000000001</v>
      </c>
      <c r="E33" s="7">
        <v>146.9</v>
      </c>
      <c r="F33" s="7">
        <v>75.8</v>
      </c>
      <c r="G33" s="7">
        <v>11138</v>
      </c>
      <c r="H33" s="7">
        <v>3719</v>
      </c>
      <c r="I33" s="7">
        <v>1349</v>
      </c>
      <c r="J33" s="8">
        <f t="shared" si="0"/>
        <v>0.12111689710899623</v>
      </c>
      <c r="K33" s="7">
        <v>11</v>
      </c>
      <c r="L33" s="7">
        <v>6044</v>
      </c>
      <c r="M33" s="7">
        <v>15</v>
      </c>
      <c r="N33" s="7"/>
      <c r="O33" s="7">
        <v>4287</v>
      </c>
      <c r="P33" s="7">
        <v>4287</v>
      </c>
      <c r="Q33" s="7">
        <v>3718</v>
      </c>
      <c r="R33" s="7">
        <v>437</v>
      </c>
      <c r="S33" s="7">
        <v>126</v>
      </c>
      <c r="T33" s="7">
        <v>6</v>
      </c>
      <c r="U33" s="7"/>
      <c r="V33" s="4"/>
    </row>
    <row r="34" spans="1:22" x14ac:dyDescent="0.2">
      <c r="A34" s="5">
        <v>3513009</v>
      </c>
      <c r="B34" s="1" t="s">
        <v>52</v>
      </c>
      <c r="C34" s="5">
        <v>19</v>
      </c>
      <c r="D34" s="5">
        <v>0.71899999999999997</v>
      </c>
      <c r="E34" s="5">
        <v>71.900000000000006</v>
      </c>
      <c r="F34" s="5">
        <v>154.69999999999999</v>
      </c>
      <c r="G34" s="5">
        <v>11123</v>
      </c>
      <c r="H34" s="5">
        <v>3554</v>
      </c>
      <c r="I34" s="5">
        <v>1565</v>
      </c>
      <c r="J34" s="6">
        <f t="shared" si="0"/>
        <v>0.14069945158680211</v>
      </c>
      <c r="K34" s="5">
        <v>22</v>
      </c>
      <c r="L34" s="5">
        <v>5968</v>
      </c>
      <c r="M34" s="5">
        <v>14</v>
      </c>
      <c r="N34" s="5"/>
      <c r="O34" s="5">
        <v>4141</v>
      </c>
      <c r="P34" s="5">
        <v>4141</v>
      </c>
      <c r="Q34" s="5">
        <v>3680</v>
      </c>
      <c r="R34" s="5">
        <v>410</v>
      </c>
      <c r="S34" s="5">
        <v>46</v>
      </c>
      <c r="T34" s="5">
        <v>5</v>
      </c>
      <c r="U34" s="5"/>
      <c r="V34" s="4"/>
    </row>
    <row r="35" spans="1:22" x14ac:dyDescent="0.2">
      <c r="A35" s="7">
        <v>3509205</v>
      </c>
      <c r="B35" s="2" t="s">
        <v>53</v>
      </c>
      <c r="C35" s="7">
        <v>21</v>
      </c>
      <c r="D35" s="7">
        <v>1.645</v>
      </c>
      <c r="E35" s="7">
        <v>164.5</v>
      </c>
      <c r="F35" s="7">
        <v>67.400000000000006</v>
      </c>
      <c r="G35" s="7">
        <v>11081</v>
      </c>
      <c r="H35" s="7">
        <v>4508</v>
      </c>
      <c r="I35" s="7">
        <v>1125</v>
      </c>
      <c r="J35" s="8">
        <f t="shared" si="0"/>
        <v>0.10152513311073008</v>
      </c>
      <c r="K35" s="7">
        <v>5</v>
      </c>
      <c r="L35" s="7">
        <v>5426</v>
      </c>
      <c r="M35" s="7">
        <v>17</v>
      </c>
      <c r="N35" s="7"/>
      <c r="O35" s="7">
        <v>4148</v>
      </c>
      <c r="P35" s="7">
        <v>4148</v>
      </c>
      <c r="Q35" s="7">
        <v>3751</v>
      </c>
      <c r="R35" s="7">
        <v>344</v>
      </c>
      <c r="S35" s="7">
        <v>53</v>
      </c>
      <c r="T35" s="7"/>
      <c r="U35" s="7"/>
      <c r="V35" s="4"/>
    </row>
    <row r="36" spans="1:22" x14ac:dyDescent="0.2">
      <c r="A36" s="5">
        <v>3538709</v>
      </c>
      <c r="B36" s="1" t="s">
        <v>54</v>
      </c>
      <c r="C36" s="5">
        <v>16</v>
      </c>
      <c r="D36" s="5">
        <v>0.84799999999999998</v>
      </c>
      <c r="E36" s="5">
        <v>84.8</v>
      </c>
      <c r="F36" s="5">
        <v>128.1</v>
      </c>
      <c r="G36" s="5">
        <v>10863</v>
      </c>
      <c r="H36" s="5">
        <v>3076</v>
      </c>
      <c r="I36" s="5">
        <v>1766</v>
      </c>
      <c r="J36" s="6">
        <f t="shared" si="0"/>
        <v>0.16257019239620732</v>
      </c>
      <c r="K36" s="5">
        <v>6</v>
      </c>
      <c r="L36" s="5">
        <v>6010</v>
      </c>
      <c r="M36" s="5">
        <v>5</v>
      </c>
      <c r="N36" s="5"/>
      <c r="O36" s="5">
        <v>4590</v>
      </c>
      <c r="P36" s="5">
        <v>4588</v>
      </c>
      <c r="Q36" s="5">
        <v>3450</v>
      </c>
      <c r="R36" s="5">
        <v>604</v>
      </c>
      <c r="S36" s="5">
        <v>81</v>
      </c>
      <c r="T36" s="5">
        <v>453</v>
      </c>
      <c r="U36" s="5">
        <v>2</v>
      </c>
      <c r="V36" s="4"/>
    </row>
    <row r="37" spans="1:22" x14ac:dyDescent="0.2">
      <c r="A37" s="7">
        <v>3509700</v>
      </c>
      <c r="B37" s="2" t="s">
        <v>55</v>
      </c>
      <c r="C37" s="7">
        <v>11</v>
      </c>
      <c r="D37" s="7">
        <v>0.93300000000000005</v>
      </c>
      <c r="E37" s="7">
        <v>93.3</v>
      </c>
      <c r="F37" s="7">
        <v>97.1</v>
      </c>
      <c r="G37" s="7">
        <v>9063</v>
      </c>
      <c r="H37" s="7">
        <v>6056</v>
      </c>
      <c r="I37" s="7">
        <v>368</v>
      </c>
      <c r="J37" s="8">
        <f t="shared" si="0"/>
        <v>4.0604656294825112E-2</v>
      </c>
      <c r="K37" s="7">
        <v>3</v>
      </c>
      <c r="L37" s="7">
        <v>2629</v>
      </c>
      <c r="M37" s="7">
        <v>7</v>
      </c>
      <c r="N37" s="7"/>
      <c r="O37" s="7">
        <v>3251</v>
      </c>
      <c r="P37" s="7">
        <v>3245</v>
      </c>
      <c r="Q37" s="7">
        <v>2905</v>
      </c>
      <c r="R37" s="7">
        <v>285</v>
      </c>
      <c r="S37" s="7">
        <v>54</v>
      </c>
      <c r="T37" s="7">
        <v>1</v>
      </c>
      <c r="U37" s="7">
        <v>6</v>
      </c>
      <c r="V37" s="4"/>
    </row>
    <row r="38" spans="1:22" x14ac:dyDescent="0.2">
      <c r="A38" s="5">
        <v>3505708</v>
      </c>
      <c r="B38" s="1" t="s">
        <v>56</v>
      </c>
      <c r="C38" s="5">
        <v>14</v>
      </c>
      <c r="D38" s="5">
        <v>0.28999999999999998</v>
      </c>
      <c r="E38" s="5">
        <v>29</v>
      </c>
      <c r="F38" s="5">
        <v>300.60000000000002</v>
      </c>
      <c r="G38" s="5">
        <v>8717</v>
      </c>
      <c r="H38" s="5">
        <v>3055</v>
      </c>
      <c r="I38" s="5">
        <v>961</v>
      </c>
      <c r="J38" s="6">
        <f t="shared" si="0"/>
        <v>0.11024435012045429</v>
      </c>
      <c r="K38" s="5">
        <v>9</v>
      </c>
      <c r="L38" s="5">
        <v>4689</v>
      </c>
      <c r="M38" s="5">
        <v>3</v>
      </c>
      <c r="N38" s="5"/>
      <c r="O38" s="5">
        <v>3094</v>
      </c>
      <c r="P38" s="5">
        <v>3094</v>
      </c>
      <c r="Q38" s="5">
        <v>2925</v>
      </c>
      <c r="R38" s="5">
        <v>150</v>
      </c>
      <c r="S38" s="5">
        <v>19</v>
      </c>
      <c r="T38" s="5"/>
      <c r="U38" s="5"/>
      <c r="V38" s="4"/>
    </row>
    <row r="39" spans="1:22" x14ac:dyDescent="0.2">
      <c r="A39" s="7">
        <v>3509007</v>
      </c>
      <c r="B39" s="2" t="s">
        <v>57</v>
      </c>
      <c r="C39" s="7">
        <v>10</v>
      </c>
      <c r="D39" s="7">
        <v>0.42399999999999999</v>
      </c>
      <c r="E39" s="7">
        <v>42.4</v>
      </c>
      <c r="F39" s="7">
        <v>161.6</v>
      </c>
      <c r="G39" s="7">
        <v>6850</v>
      </c>
      <c r="H39" s="7">
        <v>2197</v>
      </c>
      <c r="I39" s="7">
        <v>924</v>
      </c>
      <c r="J39" s="8">
        <f t="shared" si="0"/>
        <v>0.13489051094890511</v>
      </c>
      <c r="K39" s="7">
        <v>9</v>
      </c>
      <c r="L39" s="7">
        <v>3696</v>
      </c>
      <c r="M39" s="7">
        <v>24</v>
      </c>
      <c r="N39" s="7"/>
      <c r="O39" s="7">
        <v>2360</v>
      </c>
      <c r="P39" s="7">
        <v>2360</v>
      </c>
      <c r="Q39" s="7">
        <v>2233</v>
      </c>
      <c r="R39" s="7">
        <v>121</v>
      </c>
      <c r="S39" s="7">
        <v>6</v>
      </c>
      <c r="T39" s="7"/>
      <c r="U39" s="7"/>
      <c r="V39" s="4"/>
    </row>
    <row r="40" spans="1:22" x14ac:dyDescent="0.2">
      <c r="A40" s="5">
        <v>3520400</v>
      </c>
      <c r="B40" s="1" t="s">
        <v>58</v>
      </c>
      <c r="C40" s="5">
        <v>13</v>
      </c>
      <c r="D40" s="5">
        <v>1.0960000000000001</v>
      </c>
      <c r="E40" s="5">
        <v>109.6</v>
      </c>
      <c r="F40" s="5">
        <v>62.3</v>
      </c>
      <c r="G40" s="5">
        <v>6833</v>
      </c>
      <c r="H40" s="5">
        <v>2557</v>
      </c>
      <c r="I40" s="5">
        <v>725</v>
      </c>
      <c r="J40" s="6">
        <f t="shared" si="0"/>
        <v>0.10610273671886433</v>
      </c>
      <c r="K40" s="5">
        <v>18</v>
      </c>
      <c r="L40" s="5">
        <v>3475</v>
      </c>
      <c r="M40" s="5">
        <v>58</v>
      </c>
      <c r="N40" s="5"/>
      <c r="O40" s="5">
        <v>2598</v>
      </c>
      <c r="P40" s="5">
        <v>2597</v>
      </c>
      <c r="Q40" s="5">
        <v>2318</v>
      </c>
      <c r="R40" s="5">
        <v>125</v>
      </c>
      <c r="S40" s="5">
        <v>153</v>
      </c>
      <c r="T40" s="5">
        <v>1</v>
      </c>
      <c r="U40" s="5">
        <v>1</v>
      </c>
      <c r="V40" s="4"/>
    </row>
    <row r="41" spans="1:22" x14ac:dyDescent="0.2">
      <c r="A41" s="7">
        <v>3549904</v>
      </c>
      <c r="B41" s="2" t="s">
        <v>59</v>
      </c>
      <c r="C41" s="7">
        <v>12</v>
      </c>
      <c r="D41" s="7">
        <v>1.121</v>
      </c>
      <c r="E41" s="7">
        <v>112.1</v>
      </c>
      <c r="F41" s="7">
        <v>58</v>
      </c>
      <c r="G41" s="7">
        <v>6497</v>
      </c>
      <c r="H41" s="7">
        <v>2604</v>
      </c>
      <c r="I41" s="7">
        <v>707</v>
      </c>
      <c r="J41" s="8">
        <f t="shared" si="0"/>
        <v>0.10881945513313837</v>
      </c>
      <c r="K41" s="7">
        <v>2</v>
      </c>
      <c r="L41" s="7">
        <v>3174</v>
      </c>
      <c r="M41" s="7">
        <v>10</v>
      </c>
      <c r="N41" s="7"/>
      <c r="O41" s="7">
        <v>2349</v>
      </c>
      <c r="P41" s="7">
        <v>2348</v>
      </c>
      <c r="Q41" s="7">
        <v>2171</v>
      </c>
      <c r="R41" s="7">
        <v>140</v>
      </c>
      <c r="S41" s="7">
        <v>27</v>
      </c>
      <c r="T41" s="7">
        <v>10</v>
      </c>
      <c r="U41" s="7">
        <v>1</v>
      </c>
      <c r="V41" s="4"/>
    </row>
    <row r="42" spans="1:22" x14ac:dyDescent="0.2">
      <c r="A42" s="5">
        <v>3524402</v>
      </c>
      <c r="B42" s="1" t="s">
        <v>60</v>
      </c>
      <c r="C42" s="5">
        <v>10</v>
      </c>
      <c r="D42" s="5">
        <v>0.90600000000000003</v>
      </c>
      <c r="E42" s="5">
        <v>90.6</v>
      </c>
      <c r="F42" s="5">
        <v>70.3</v>
      </c>
      <c r="G42" s="5">
        <v>6365</v>
      </c>
      <c r="H42" s="5">
        <v>2737</v>
      </c>
      <c r="I42" s="5">
        <v>679</v>
      </c>
      <c r="J42" s="6">
        <f t="shared" si="0"/>
        <v>0.10667714061272585</v>
      </c>
      <c r="K42" s="5">
        <v>8</v>
      </c>
      <c r="L42" s="5">
        <v>2936</v>
      </c>
      <c r="M42" s="5">
        <v>5</v>
      </c>
      <c r="N42" s="5"/>
      <c r="O42" s="5">
        <v>2402</v>
      </c>
      <c r="P42" s="5">
        <v>2402</v>
      </c>
      <c r="Q42" s="5">
        <v>2109</v>
      </c>
      <c r="R42" s="5">
        <v>259</v>
      </c>
      <c r="S42" s="5">
        <v>34</v>
      </c>
      <c r="T42" s="5"/>
      <c r="U42" s="5"/>
      <c r="V42" s="4"/>
    </row>
    <row r="43" spans="1:22" x14ac:dyDescent="0.2">
      <c r="A43" s="7">
        <v>3506003</v>
      </c>
      <c r="B43" s="2" t="s">
        <v>61</v>
      </c>
      <c r="C43" s="7">
        <v>15</v>
      </c>
      <c r="D43" s="7">
        <v>2.38</v>
      </c>
      <c r="E43" s="7">
        <v>238</v>
      </c>
      <c r="F43" s="7">
        <v>26.5</v>
      </c>
      <c r="G43" s="7">
        <v>6310</v>
      </c>
      <c r="H43" s="7">
        <v>2311</v>
      </c>
      <c r="I43" s="7">
        <v>745</v>
      </c>
      <c r="J43" s="8">
        <f t="shared" si="0"/>
        <v>0.11806656101426308</v>
      </c>
      <c r="K43" s="7">
        <v>4</v>
      </c>
      <c r="L43" s="7">
        <v>3242</v>
      </c>
      <c r="M43" s="7">
        <v>8</v>
      </c>
      <c r="N43" s="7"/>
      <c r="O43" s="7">
        <v>2586</v>
      </c>
      <c r="P43" s="7">
        <v>2586</v>
      </c>
      <c r="Q43" s="7">
        <v>2018</v>
      </c>
      <c r="R43" s="7">
        <v>317</v>
      </c>
      <c r="S43" s="7">
        <v>187</v>
      </c>
      <c r="T43" s="7">
        <v>64</v>
      </c>
      <c r="U43" s="7"/>
      <c r="V43" s="4"/>
    </row>
    <row r="44" spans="1:22" x14ac:dyDescent="0.2">
      <c r="A44" s="5">
        <v>3510500</v>
      </c>
      <c r="B44" s="1" t="s">
        <v>62</v>
      </c>
      <c r="C44" s="5">
        <v>12</v>
      </c>
      <c r="D44" s="5">
        <v>1.296</v>
      </c>
      <c r="E44" s="5">
        <v>129.6</v>
      </c>
      <c r="F44" s="5">
        <v>43.2</v>
      </c>
      <c r="G44" s="5">
        <v>5601</v>
      </c>
      <c r="H44" s="5">
        <v>2398</v>
      </c>
      <c r="I44" s="5">
        <v>562</v>
      </c>
      <c r="J44" s="6">
        <f t="shared" si="0"/>
        <v>0.10033922513836815</v>
      </c>
      <c r="K44" s="5">
        <v>2</v>
      </c>
      <c r="L44" s="5">
        <v>2622</v>
      </c>
      <c r="M44" s="5">
        <v>17</v>
      </c>
      <c r="N44" s="5"/>
      <c r="O44" s="5">
        <v>2396</v>
      </c>
      <c r="P44" s="5">
        <v>2396</v>
      </c>
      <c r="Q44" s="5">
        <v>1833</v>
      </c>
      <c r="R44" s="5">
        <v>263</v>
      </c>
      <c r="S44" s="5">
        <v>261</v>
      </c>
      <c r="T44" s="5">
        <v>39</v>
      </c>
      <c r="U44" s="5"/>
      <c r="V44" s="4"/>
    </row>
    <row r="45" spans="1:22" x14ac:dyDescent="0.2">
      <c r="A45" s="7">
        <v>3504107</v>
      </c>
      <c r="B45" s="2" t="s">
        <v>63</v>
      </c>
      <c r="C45" s="7">
        <v>11</v>
      </c>
      <c r="D45" s="7">
        <v>0.78800000000000003</v>
      </c>
      <c r="E45" s="7">
        <v>78.8</v>
      </c>
      <c r="F45" s="7">
        <v>68.099999999999994</v>
      </c>
      <c r="G45" s="7">
        <v>5370</v>
      </c>
      <c r="H45" s="7">
        <v>2526</v>
      </c>
      <c r="I45" s="7">
        <v>450</v>
      </c>
      <c r="J45" s="8">
        <f t="shared" si="0"/>
        <v>8.3798882681564241E-2</v>
      </c>
      <c r="K45" s="7">
        <v>16</v>
      </c>
      <c r="L45" s="7">
        <v>2371</v>
      </c>
      <c r="M45" s="7">
        <v>7</v>
      </c>
      <c r="N45" s="7"/>
      <c r="O45" s="7">
        <v>1961</v>
      </c>
      <c r="P45" s="7">
        <v>1960</v>
      </c>
      <c r="Q45" s="7">
        <v>1761</v>
      </c>
      <c r="R45" s="7">
        <v>151</v>
      </c>
      <c r="S45" s="7">
        <v>42</v>
      </c>
      <c r="T45" s="7">
        <v>6</v>
      </c>
      <c r="U45" s="7">
        <v>1</v>
      </c>
      <c r="V45" s="4"/>
    </row>
    <row r="46" spans="1:22" x14ac:dyDescent="0.2">
      <c r="A46" s="5">
        <v>3544103</v>
      </c>
      <c r="B46" s="1" t="s">
        <v>64</v>
      </c>
      <c r="C46" s="5">
        <v>7</v>
      </c>
      <c r="D46" s="5">
        <v>0.70899999999999996</v>
      </c>
      <c r="E46" s="5">
        <v>70.900000000000006</v>
      </c>
      <c r="F46" s="5">
        <v>73.3</v>
      </c>
      <c r="G46" s="5">
        <v>5195</v>
      </c>
      <c r="H46" s="5">
        <v>2055</v>
      </c>
      <c r="I46" s="5">
        <v>576</v>
      </c>
      <c r="J46" s="6">
        <f t="shared" si="0"/>
        <v>0.11087584215591915</v>
      </c>
      <c r="K46" s="5">
        <v>3</v>
      </c>
      <c r="L46" s="5">
        <v>2550</v>
      </c>
      <c r="M46" s="5">
        <v>11</v>
      </c>
      <c r="N46" s="5"/>
      <c r="O46" s="5">
        <v>2049</v>
      </c>
      <c r="P46" s="5">
        <v>2048</v>
      </c>
      <c r="Q46" s="5">
        <v>1842</v>
      </c>
      <c r="R46" s="5">
        <v>178</v>
      </c>
      <c r="S46" s="5">
        <v>28</v>
      </c>
      <c r="T46" s="5"/>
      <c r="U46" s="5">
        <v>1</v>
      </c>
      <c r="V46" s="4"/>
    </row>
    <row r="47" spans="1:22" x14ac:dyDescent="0.2">
      <c r="A47" s="7">
        <v>3525003</v>
      </c>
      <c r="B47" s="2" t="s">
        <v>65</v>
      </c>
      <c r="C47" s="7">
        <v>8</v>
      </c>
      <c r="D47" s="7">
        <v>0.20599999999999999</v>
      </c>
      <c r="E47" s="7">
        <v>20.6</v>
      </c>
      <c r="F47" s="7">
        <v>241.5</v>
      </c>
      <c r="G47" s="7">
        <v>4974</v>
      </c>
      <c r="H47" s="7">
        <v>1570</v>
      </c>
      <c r="I47" s="7">
        <v>826</v>
      </c>
      <c r="J47" s="8">
        <f t="shared" si="0"/>
        <v>0.16606353035786087</v>
      </c>
      <c r="K47" s="7">
        <v>3</v>
      </c>
      <c r="L47" s="7">
        <v>2575</v>
      </c>
      <c r="M47" s="7"/>
      <c r="N47" s="7"/>
      <c r="O47" s="7">
        <v>1891</v>
      </c>
      <c r="P47" s="7">
        <v>1891</v>
      </c>
      <c r="Q47" s="7">
        <v>1692</v>
      </c>
      <c r="R47" s="7">
        <v>189</v>
      </c>
      <c r="S47" s="7">
        <v>6</v>
      </c>
      <c r="T47" s="7">
        <v>4</v>
      </c>
      <c r="U47" s="7"/>
      <c r="V47" s="4"/>
    </row>
    <row r="48" spans="1:22" x14ac:dyDescent="0.2">
      <c r="A48" s="5">
        <v>3557006</v>
      </c>
      <c r="B48" s="1" t="s">
        <v>66</v>
      </c>
      <c r="C48" s="5">
        <v>9</v>
      </c>
      <c r="D48" s="5">
        <v>0.55300000000000005</v>
      </c>
      <c r="E48" s="5">
        <v>55.3</v>
      </c>
      <c r="F48" s="5">
        <v>89</v>
      </c>
      <c r="G48" s="5">
        <v>4919</v>
      </c>
      <c r="H48" s="5">
        <v>2028</v>
      </c>
      <c r="I48" s="5">
        <v>512</v>
      </c>
      <c r="J48" s="6">
        <f t="shared" si="0"/>
        <v>0.10408619638137832</v>
      </c>
      <c r="K48" s="5">
        <v>3</v>
      </c>
      <c r="L48" s="5">
        <v>2371</v>
      </c>
      <c r="M48" s="5">
        <v>5</v>
      </c>
      <c r="N48" s="5"/>
      <c r="O48" s="5">
        <v>1613</v>
      </c>
      <c r="P48" s="5">
        <v>1613</v>
      </c>
      <c r="Q48" s="5">
        <v>1404</v>
      </c>
      <c r="R48" s="5">
        <v>77</v>
      </c>
      <c r="S48" s="5">
        <v>14</v>
      </c>
      <c r="T48" s="5">
        <v>118</v>
      </c>
      <c r="U48" s="5"/>
      <c r="V48" s="4"/>
    </row>
    <row r="49" spans="1:22" x14ac:dyDescent="0.2">
      <c r="A49" s="7">
        <v>3543303</v>
      </c>
      <c r="B49" s="2" t="s">
        <v>67</v>
      </c>
      <c r="C49" s="7">
        <v>4</v>
      </c>
      <c r="D49" s="7">
        <v>0.315</v>
      </c>
      <c r="E49" s="7">
        <v>31.5</v>
      </c>
      <c r="F49" s="7">
        <v>148.5</v>
      </c>
      <c r="G49" s="7">
        <v>4678</v>
      </c>
      <c r="H49" s="7">
        <v>1681</v>
      </c>
      <c r="I49" s="7">
        <v>525</v>
      </c>
      <c r="J49" s="8">
        <f t="shared" si="0"/>
        <v>0.11222744762719111</v>
      </c>
      <c r="K49" s="7"/>
      <c r="L49" s="7">
        <v>2471</v>
      </c>
      <c r="M49" s="7">
        <v>1</v>
      </c>
      <c r="N49" s="7"/>
      <c r="O49" s="7">
        <v>1773</v>
      </c>
      <c r="P49" s="7">
        <v>1773</v>
      </c>
      <c r="Q49" s="7">
        <v>1629</v>
      </c>
      <c r="R49" s="7">
        <v>90</v>
      </c>
      <c r="S49" s="7">
        <v>5</v>
      </c>
      <c r="T49" s="7">
        <v>49</v>
      </c>
      <c r="U49" s="7"/>
      <c r="V49" s="4"/>
    </row>
    <row r="50" spans="1:22" x14ac:dyDescent="0.2">
      <c r="A50" s="5">
        <v>3519071</v>
      </c>
      <c r="B50" s="1" t="s">
        <v>68</v>
      </c>
      <c r="C50" s="5">
        <v>7</v>
      </c>
      <c r="D50" s="5">
        <v>0.35799999999999998</v>
      </c>
      <c r="E50" s="5">
        <v>35.799999999999997</v>
      </c>
      <c r="F50" s="5">
        <v>118</v>
      </c>
      <c r="G50" s="5">
        <v>4223</v>
      </c>
      <c r="H50" s="5">
        <v>1270</v>
      </c>
      <c r="I50" s="5">
        <v>519</v>
      </c>
      <c r="J50" s="6">
        <f t="shared" si="0"/>
        <v>0.12289841345015391</v>
      </c>
      <c r="K50" s="5">
        <v>2</v>
      </c>
      <c r="L50" s="5">
        <v>2422</v>
      </c>
      <c r="M50" s="5">
        <v>10</v>
      </c>
      <c r="N50" s="5"/>
      <c r="O50" s="5">
        <v>1447</v>
      </c>
      <c r="P50" s="5">
        <v>1447</v>
      </c>
      <c r="Q50" s="5">
        <v>1366</v>
      </c>
      <c r="R50" s="5">
        <v>66</v>
      </c>
      <c r="S50" s="5">
        <v>15</v>
      </c>
      <c r="T50" s="5"/>
      <c r="U50" s="5"/>
      <c r="V50" s="4"/>
    </row>
    <row r="51" spans="1:22" x14ac:dyDescent="0.2">
      <c r="A51" s="7">
        <v>3547304</v>
      </c>
      <c r="B51" s="2" t="s">
        <v>69</v>
      </c>
      <c r="C51" s="7">
        <v>8</v>
      </c>
      <c r="D51" s="7">
        <v>0.29799999999999999</v>
      </c>
      <c r="E51" s="7">
        <v>29.8</v>
      </c>
      <c r="F51" s="7">
        <v>127.3</v>
      </c>
      <c r="G51" s="7">
        <v>3793</v>
      </c>
      <c r="H51" s="7">
        <v>1165</v>
      </c>
      <c r="I51" s="7">
        <v>376</v>
      </c>
      <c r="J51" s="8">
        <f t="shared" si="0"/>
        <v>9.9129976272080145E-2</v>
      </c>
      <c r="K51" s="7">
        <v>2</v>
      </c>
      <c r="L51" s="7">
        <v>2247</v>
      </c>
      <c r="M51" s="7">
        <v>3</v>
      </c>
      <c r="N51" s="7"/>
      <c r="O51" s="7">
        <v>1356</v>
      </c>
      <c r="P51" s="7">
        <v>1356</v>
      </c>
      <c r="Q51" s="7">
        <v>1266</v>
      </c>
      <c r="R51" s="7">
        <v>83</v>
      </c>
      <c r="S51" s="7">
        <v>7</v>
      </c>
      <c r="T51" s="7"/>
      <c r="U51" s="7"/>
      <c r="V51" s="4"/>
    </row>
    <row r="52" spans="1:22" x14ac:dyDescent="0.2">
      <c r="A52" s="5">
        <v>3528502</v>
      </c>
      <c r="B52" s="1" t="s">
        <v>70</v>
      </c>
      <c r="C52" s="5">
        <v>11</v>
      </c>
      <c r="D52" s="5">
        <v>0.65300000000000002</v>
      </c>
      <c r="E52" s="5">
        <v>65.3</v>
      </c>
      <c r="F52" s="5">
        <v>53.2</v>
      </c>
      <c r="G52" s="5">
        <v>3475</v>
      </c>
      <c r="H52" s="5">
        <v>1406</v>
      </c>
      <c r="I52" s="5">
        <v>346</v>
      </c>
      <c r="J52" s="6">
        <f t="shared" si="0"/>
        <v>9.9568345323741009E-2</v>
      </c>
      <c r="K52" s="5">
        <v>3</v>
      </c>
      <c r="L52" s="5">
        <v>1716</v>
      </c>
      <c r="M52" s="5">
        <v>4</v>
      </c>
      <c r="N52" s="5"/>
      <c r="O52" s="5">
        <v>1319</v>
      </c>
      <c r="P52" s="5">
        <v>1319</v>
      </c>
      <c r="Q52" s="5">
        <v>1181</v>
      </c>
      <c r="R52" s="5">
        <v>107</v>
      </c>
      <c r="S52" s="5">
        <v>30</v>
      </c>
      <c r="T52" s="5">
        <v>1</v>
      </c>
      <c r="U52" s="5"/>
      <c r="V52" s="4"/>
    </row>
    <row r="53" spans="1:22" x14ac:dyDescent="0.2">
      <c r="A53" s="7">
        <v>3509601</v>
      </c>
      <c r="B53" s="2" t="s">
        <v>71</v>
      </c>
      <c r="C53" s="7">
        <v>5</v>
      </c>
      <c r="D53" s="7">
        <v>0.98099999999999998</v>
      </c>
      <c r="E53" s="7">
        <v>98.1</v>
      </c>
      <c r="F53" s="7">
        <v>34.1</v>
      </c>
      <c r="G53" s="7">
        <v>3350</v>
      </c>
      <c r="H53" s="7">
        <v>1196</v>
      </c>
      <c r="I53" s="7">
        <v>455</v>
      </c>
      <c r="J53" s="8">
        <f t="shared" si="0"/>
        <v>0.13582089552238805</v>
      </c>
      <c r="K53" s="7">
        <v>1</v>
      </c>
      <c r="L53" s="7">
        <v>1697</v>
      </c>
      <c r="M53" s="7">
        <v>1</v>
      </c>
      <c r="N53" s="7"/>
      <c r="O53" s="7">
        <v>1282</v>
      </c>
      <c r="P53" s="7">
        <v>1282</v>
      </c>
      <c r="Q53" s="7">
        <v>1004</v>
      </c>
      <c r="R53" s="7">
        <v>137</v>
      </c>
      <c r="S53" s="7">
        <v>60</v>
      </c>
      <c r="T53" s="7">
        <v>81</v>
      </c>
      <c r="U53" s="7"/>
      <c r="V53" s="4"/>
    </row>
    <row r="54" spans="1:22" x14ac:dyDescent="0.2">
      <c r="A54" s="5">
        <v>3523909</v>
      </c>
      <c r="B54" s="1" t="s">
        <v>72</v>
      </c>
      <c r="C54" s="5">
        <v>6</v>
      </c>
      <c r="D54" s="5">
        <v>0.35099999999999998</v>
      </c>
      <c r="E54" s="5">
        <v>35.1</v>
      </c>
      <c r="F54" s="5">
        <v>92.5</v>
      </c>
      <c r="G54" s="5">
        <v>3245</v>
      </c>
      <c r="H54" s="5">
        <v>1291</v>
      </c>
      <c r="I54" s="5">
        <v>268</v>
      </c>
      <c r="J54" s="6">
        <f t="shared" si="0"/>
        <v>8.2588597842835135E-2</v>
      </c>
      <c r="K54" s="5"/>
      <c r="L54" s="5">
        <v>1686</v>
      </c>
      <c r="M54" s="5"/>
      <c r="N54" s="5"/>
      <c r="O54" s="5">
        <v>1260</v>
      </c>
      <c r="P54" s="5">
        <v>1260</v>
      </c>
      <c r="Q54" s="5">
        <v>1061</v>
      </c>
      <c r="R54" s="5">
        <v>165</v>
      </c>
      <c r="S54" s="5">
        <v>28</v>
      </c>
      <c r="T54" s="5">
        <v>6</v>
      </c>
      <c r="U54" s="5"/>
      <c r="V54" s="4"/>
    </row>
    <row r="55" spans="1:22" x14ac:dyDescent="0.2">
      <c r="A55" s="7">
        <v>3529005</v>
      </c>
      <c r="B55" s="2" t="s">
        <v>73</v>
      </c>
      <c r="C55" s="7">
        <v>13</v>
      </c>
      <c r="D55" s="7">
        <v>0.75800000000000001</v>
      </c>
      <c r="E55" s="7">
        <v>75.8</v>
      </c>
      <c r="F55" s="7">
        <v>42.1</v>
      </c>
      <c r="G55" s="7">
        <v>3190</v>
      </c>
      <c r="H55" s="7">
        <v>1127</v>
      </c>
      <c r="I55" s="7">
        <v>413</v>
      </c>
      <c r="J55" s="8">
        <f t="shared" si="0"/>
        <v>0.12946708463949844</v>
      </c>
      <c r="K55" s="7">
        <v>4</v>
      </c>
      <c r="L55" s="7">
        <v>1636</v>
      </c>
      <c r="M55" s="7">
        <v>10</v>
      </c>
      <c r="N55" s="7"/>
      <c r="O55" s="7">
        <v>1222</v>
      </c>
      <c r="P55" s="7">
        <v>1222</v>
      </c>
      <c r="Q55" s="7">
        <v>1084</v>
      </c>
      <c r="R55" s="7">
        <v>127</v>
      </c>
      <c r="S55" s="7">
        <v>10</v>
      </c>
      <c r="T55" s="7">
        <v>1</v>
      </c>
      <c r="U55" s="7"/>
      <c r="V55" s="4"/>
    </row>
    <row r="56" spans="1:22" x14ac:dyDescent="0.2">
      <c r="A56" s="5">
        <v>3539103</v>
      </c>
      <c r="B56" s="1" t="s">
        <v>74</v>
      </c>
      <c r="C56" s="5">
        <v>4</v>
      </c>
      <c r="D56" s="5">
        <v>0.21299999999999999</v>
      </c>
      <c r="E56" s="5">
        <v>21.3</v>
      </c>
      <c r="F56" s="5">
        <v>139.80000000000001</v>
      </c>
      <c r="G56" s="5">
        <v>2978</v>
      </c>
      <c r="H56" s="5">
        <v>897</v>
      </c>
      <c r="I56" s="5">
        <v>436</v>
      </c>
      <c r="J56" s="6">
        <f t="shared" si="0"/>
        <v>0.14640698455339154</v>
      </c>
      <c r="K56" s="5">
        <v>1</v>
      </c>
      <c r="L56" s="5">
        <v>1628</v>
      </c>
      <c r="M56" s="5">
        <v>16</v>
      </c>
      <c r="N56" s="5"/>
      <c r="O56" s="5">
        <v>982</v>
      </c>
      <c r="P56" s="5">
        <v>982</v>
      </c>
      <c r="Q56" s="5">
        <v>901</v>
      </c>
      <c r="R56" s="5">
        <v>57</v>
      </c>
      <c r="S56" s="5">
        <v>20</v>
      </c>
      <c r="T56" s="5">
        <v>4</v>
      </c>
      <c r="U56" s="5"/>
      <c r="V56" s="4"/>
    </row>
    <row r="57" spans="1:22" x14ac:dyDescent="0.2">
      <c r="A57" s="7">
        <v>3554805</v>
      </c>
      <c r="B57" s="2" t="s">
        <v>75</v>
      </c>
      <c r="C57" s="7">
        <v>6</v>
      </c>
      <c r="D57" s="7">
        <v>1.64</v>
      </c>
      <c r="E57" s="7">
        <v>164</v>
      </c>
      <c r="F57" s="7">
        <v>17</v>
      </c>
      <c r="G57" s="7">
        <v>2788</v>
      </c>
      <c r="H57" s="7">
        <v>1366</v>
      </c>
      <c r="I57" s="7">
        <v>196</v>
      </c>
      <c r="J57" s="8">
        <f t="shared" si="0"/>
        <v>7.0301291248206596E-2</v>
      </c>
      <c r="K57" s="7">
        <v>1</v>
      </c>
      <c r="L57" s="7">
        <v>1223</v>
      </c>
      <c r="M57" s="7">
        <v>2</v>
      </c>
      <c r="N57" s="7"/>
      <c r="O57" s="7">
        <v>1166</v>
      </c>
      <c r="P57" s="7">
        <v>1166</v>
      </c>
      <c r="Q57" s="7">
        <v>902</v>
      </c>
      <c r="R57" s="7">
        <v>146</v>
      </c>
      <c r="S57" s="7">
        <v>117</v>
      </c>
      <c r="T57" s="7">
        <v>1</v>
      </c>
      <c r="U57" s="7"/>
      <c r="V57" s="4"/>
    </row>
    <row r="58" spans="1:22" x14ac:dyDescent="0.2">
      <c r="A58" s="5">
        <v>3550605</v>
      </c>
      <c r="B58" s="1" t="s">
        <v>76</v>
      </c>
      <c r="C58" s="5">
        <v>7</v>
      </c>
      <c r="D58" s="5">
        <v>0.47499999999999998</v>
      </c>
      <c r="E58" s="5">
        <v>47.5</v>
      </c>
      <c r="F58" s="5">
        <v>53.1</v>
      </c>
      <c r="G58" s="5">
        <v>2521</v>
      </c>
      <c r="H58" s="5">
        <v>1054</v>
      </c>
      <c r="I58" s="5">
        <v>254</v>
      </c>
      <c r="J58" s="6">
        <f t="shared" si="0"/>
        <v>0.10075366917889726</v>
      </c>
      <c r="K58" s="5">
        <v>8</v>
      </c>
      <c r="L58" s="5">
        <v>1205</v>
      </c>
      <c r="M58" s="5"/>
      <c r="N58" s="5"/>
      <c r="O58" s="5">
        <v>884</v>
      </c>
      <c r="P58" s="5">
        <v>884</v>
      </c>
      <c r="Q58" s="5">
        <v>791</v>
      </c>
      <c r="R58" s="5">
        <v>73</v>
      </c>
      <c r="S58" s="5">
        <v>19</v>
      </c>
      <c r="T58" s="5">
        <v>1</v>
      </c>
      <c r="U58" s="5"/>
      <c r="V58" s="4"/>
    </row>
    <row r="59" spans="1:22" x14ac:dyDescent="0.2">
      <c r="A59" s="7">
        <v>3506607</v>
      </c>
      <c r="B59" s="2" t="s">
        <v>77</v>
      </c>
      <c r="C59" s="7">
        <v>4</v>
      </c>
      <c r="D59" s="7">
        <v>0.14599999999999999</v>
      </c>
      <c r="E59" s="7">
        <v>14.6</v>
      </c>
      <c r="F59" s="7">
        <v>164.4</v>
      </c>
      <c r="G59" s="7">
        <v>2400</v>
      </c>
      <c r="H59" s="7">
        <v>1023</v>
      </c>
      <c r="I59" s="7">
        <v>191</v>
      </c>
      <c r="J59" s="8">
        <f t="shared" si="0"/>
        <v>7.9583333333333339E-2</v>
      </c>
      <c r="K59" s="7"/>
      <c r="L59" s="7">
        <v>1181</v>
      </c>
      <c r="M59" s="7">
        <v>5</v>
      </c>
      <c r="N59" s="7"/>
      <c r="O59" s="7">
        <v>886</v>
      </c>
      <c r="P59" s="7">
        <v>886</v>
      </c>
      <c r="Q59" s="7">
        <v>795</v>
      </c>
      <c r="R59" s="7">
        <v>70</v>
      </c>
      <c r="S59" s="7">
        <v>21</v>
      </c>
      <c r="T59" s="7"/>
      <c r="U59" s="7"/>
      <c r="V59" s="4"/>
    </row>
    <row r="60" spans="1:22" x14ac:dyDescent="0.2">
      <c r="A60" s="5">
        <v>3539806</v>
      </c>
      <c r="B60" s="1" t="s">
        <v>78</v>
      </c>
      <c r="C60" s="5">
        <v>4</v>
      </c>
      <c r="D60" s="5">
        <v>0.27200000000000002</v>
      </c>
      <c r="E60" s="5">
        <v>27.2</v>
      </c>
      <c r="F60" s="5">
        <v>75</v>
      </c>
      <c r="G60" s="5">
        <v>2040</v>
      </c>
      <c r="H60" s="5">
        <v>723</v>
      </c>
      <c r="I60" s="5">
        <v>254</v>
      </c>
      <c r="J60" s="6">
        <f t="shared" si="0"/>
        <v>0.12450980392156863</v>
      </c>
      <c r="K60" s="5">
        <v>4</v>
      </c>
      <c r="L60" s="5">
        <v>1055</v>
      </c>
      <c r="M60" s="5">
        <v>4</v>
      </c>
      <c r="N60" s="5"/>
      <c r="O60" s="5">
        <v>775</v>
      </c>
      <c r="P60" s="5">
        <v>775</v>
      </c>
      <c r="Q60" s="5">
        <v>677</v>
      </c>
      <c r="R60" s="5">
        <v>73</v>
      </c>
      <c r="S60" s="5">
        <v>25</v>
      </c>
      <c r="T60" s="5"/>
      <c r="U60" s="5"/>
      <c r="V60" s="4"/>
    </row>
    <row r="61" spans="1:22" x14ac:dyDescent="0.2">
      <c r="A61" s="7">
        <v>3512803</v>
      </c>
      <c r="B61" s="2" t="s">
        <v>79</v>
      </c>
      <c r="C61" s="7">
        <v>4</v>
      </c>
      <c r="D61" s="7">
        <v>0.16500000000000001</v>
      </c>
      <c r="E61" s="7">
        <v>16.5</v>
      </c>
      <c r="F61" s="7">
        <v>100.1</v>
      </c>
      <c r="G61" s="7">
        <v>1652</v>
      </c>
      <c r="H61" s="7">
        <v>468</v>
      </c>
      <c r="I61" s="7">
        <v>250</v>
      </c>
      <c r="J61" s="8">
        <f t="shared" si="0"/>
        <v>0.1513317191283293</v>
      </c>
      <c r="K61" s="7">
        <v>1</v>
      </c>
      <c r="L61" s="7">
        <v>933</v>
      </c>
      <c r="M61" s="7"/>
      <c r="N61" s="7"/>
      <c r="O61" s="7">
        <v>716</v>
      </c>
      <c r="P61" s="7">
        <v>716</v>
      </c>
      <c r="Q61" s="7">
        <v>597</v>
      </c>
      <c r="R61" s="7">
        <v>73</v>
      </c>
      <c r="S61" s="7">
        <v>44</v>
      </c>
      <c r="T61" s="7">
        <v>2</v>
      </c>
      <c r="U61" s="7"/>
      <c r="V61" s="4"/>
    </row>
    <row r="62" spans="1:22" x14ac:dyDescent="0.2">
      <c r="A62" s="5">
        <v>3550407</v>
      </c>
      <c r="B62" s="1" t="s">
        <v>80</v>
      </c>
      <c r="C62" s="5">
        <v>1</v>
      </c>
      <c r="D62" s="5">
        <v>0.20899999999999999</v>
      </c>
      <c r="E62" s="5">
        <v>20.9</v>
      </c>
      <c r="F62" s="5">
        <v>74.5</v>
      </c>
      <c r="G62" s="5">
        <v>1557</v>
      </c>
      <c r="H62" s="5">
        <v>704</v>
      </c>
      <c r="I62" s="5">
        <v>107</v>
      </c>
      <c r="J62" s="6">
        <f t="shared" si="0"/>
        <v>6.8721901091843285E-2</v>
      </c>
      <c r="K62" s="5"/>
      <c r="L62" s="5">
        <v>746</v>
      </c>
      <c r="M62" s="5"/>
      <c r="N62" s="5"/>
      <c r="O62" s="5">
        <v>472</v>
      </c>
      <c r="P62" s="5">
        <v>472</v>
      </c>
      <c r="Q62" s="5">
        <v>441</v>
      </c>
      <c r="R62" s="5">
        <v>16</v>
      </c>
      <c r="S62" s="5">
        <v>1</v>
      </c>
      <c r="T62" s="5">
        <v>14</v>
      </c>
      <c r="U62" s="5"/>
      <c r="V62" s="4"/>
    </row>
    <row r="63" spans="1:22" x14ac:dyDescent="0.2">
      <c r="A63" s="7">
        <v>3503901</v>
      </c>
      <c r="B63" s="2" t="s">
        <v>81</v>
      </c>
      <c r="C63" s="7">
        <v>4</v>
      </c>
      <c r="D63" s="7">
        <v>0.33800000000000002</v>
      </c>
      <c r="E63" s="7">
        <v>33.799999999999997</v>
      </c>
      <c r="F63" s="7">
        <v>40.5</v>
      </c>
      <c r="G63" s="7">
        <v>1368</v>
      </c>
      <c r="H63" s="7">
        <v>466</v>
      </c>
      <c r="I63" s="7">
        <v>143</v>
      </c>
      <c r="J63" s="8">
        <f t="shared" si="0"/>
        <v>0.10453216374269006</v>
      </c>
      <c r="K63" s="7">
        <v>1</v>
      </c>
      <c r="L63" s="7">
        <v>758</v>
      </c>
      <c r="M63" s="7"/>
      <c r="N63" s="7"/>
      <c r="O63" s="7">
        <v>460</v>
      </c>
      <c r="P63" s="7">
        <v>460</v>
      </c>
      <c r="Q63" s="7">
        <v>409</v>
      </c>
      <c r="R63" s="7">
        <v>32</v>
      </c>
      <c r="S63" s="7">
        <v>19</v>
      </c>
      <c r="T63" s="7"/>
      <c r="U63" s="7"/>
      <c r="V63" s="4"/>
    </row>
    <row r="64" spans="1:22" x14ac:dyDescent="0.2">
      <c r="A64" s="5">
        <v>3519709</v>
      </c>
      <c r="B64" s="1" t="s">
        <v>82</v>
      </c>
      <c r="C64" s="5">
        <v>3</v>
      </c>
      <c r="D64" s="5">
        <v>0.19800000000000001</v>
      </c>
      <c r="E64" s="5">
        <v>19.8</v>
      </c>
      <c r="F64" s="5">
        <v>63.2</v>
      </c>
      <c r="G64" s="5">
        <v>1252</v>
      </c>
      <c r="H64" s="5">
        <v>625</v>
      </c>
      <c r="I64" s="5">
        <v>121</v>
      </c>
      <c r="J64" s="6">
        <f t="shared" si="0"/>
        <v>9.6645367412140581E-2</v>
      </c>
      <c r="K64" s="5">
        <v>6</v>
      </c>
      <c r="L64" s="5">
        <v>491</v>
      </c>
      <c r="M64" s="5">
        <v>9</v>
      </c>
      <c r="N64" s="5"/>
      <c r="O64" s="5">
        <v>466</v>
      </c>
      <c r="P64" s="5">
        <v>466</v>
      </c>
      <c r="Q64" s="5">
        <v>408</v>
      </c>
      <c r="R64" s="5">
        <v>49</v>
      </c>
      <c r="S64" s="5">
        <v>8</v>
      </c>
      <c r="T64" s="5">
        <v>1</v>
      </c>
      <c r="U64" s="5"/>
      <c r="V64" s="4"/>
    </row>
    <row r="65" spans="1:22" x14ac:dyDescent="0.2">
      <c r="A65" s="7">
        <v>3540705</v>
      </c>
      <c r="B65" s="2" t="s">
        <v>83</v>
      </c>
      <c r="C65" s="7">
        <v>1</v>
      </c>
      <c r="D65" s="7">
        <v>0.16900000000000001</v>
      </c>
      <c r="E65" s="7">
        <v>16.899999999999999</v>
      </c>
      <c r="F65" s="7">
        <v>73</v>
      </c>
      <c r="G65" s="7">
        <v>1234</v>
      </c>
      <c r="H65" s="7">
        <v>343</v>
      </c>
      <c r="I65" s="7">
        <v>97</v>
      </c>
      <c r="J65" s="8">
        <f t="shared" si="0"/>
        <v>7.8606158833063211E-2</v>
      </c>
      <c r="K65" s="7"/>
      <c r="L65" s="7">
        <v>794</v>
      </c>
      <c r="M65" s="7"/>
      <c r="N65" s="7"/>
      <c r="O65" s="7">
        <v>430</v>
      </c>
      <c r="P65" s="7">
        <v>430</v>
      </c>
      <c r="Q65" s="7">
        <v>375</v>
      </c>
      <c r="R65" s="7">
        <v>48</v>
      </c>
      <c r="S65" s="7">
        <v>7</v>
      </c>
      <c r="T65" s="7"/>
      <c r="U65" s="7"/>
      <c r="V65" s="4"/>
    </row>
    <row r="66" spans="1:22" x14ac:dyDescent="0.2">
      <c r="A66" s="5">
        <v>3513405</v>
      </c>
      <c r="B66" s="1" t="s">
        <v>84</v>
      </c>
      <c r="C66" s="5">
        <v>4</v>
      </c>
      <c r="D66" s="5">
        <v>0.126</v>
      </c>
      <c r="E66" s="5">
        <v>12.6</v>
      </c>
      <c r="F66" s="5">
        <v>88</v>
      </c>
      <c r="G66" s="5">
        <v>1109</v>
      </c>
      <c r="H66" s="5">
        <v>499</v>
      </c>
      <c r="I66" s="5">
        <v>114</v>
      </c>
      <c r="J66" s="6">
        <f t="shared" si="0"/>
        <v>0.10279531109107304</v>
      </c>
      <c r="K66" s="5">
        <v>1</v>
      </c>
      <c r="L66" s="5">
        <v>495</v>
      </c>
      <c r="M66" s="5"/>
      <c r="N66" s="5"/>
      <c r="O66" s="5">
        <v>393</v>
      </c>
      <c r="P66" s="5">
        <v>393</v>
      </c>
      <c r="Q66" s="5">
        <v>344</v>
      </c>
      <c r="R66" s="5">
        <v>26</v>
      </c>
      <c r="S66" s="5">
        <v>22</v>
      </c>
      <c r="T66" s="5">
        <v>1</v>
      </c>
      <c r="U66" s="5"/>
      <c r="V66" s="4"/>
    </row>
    <row r="67" spans="1:22" x14ac:dyDescent="0.2">
      <c r="A67" s="7">
        <v>3527207</v>
      </c>
      <c r="B67" s="2" t="s">
        <v>85</v>
      </c>
      <c r="C67" s="7">
        <v>1</v>
      </c>
      <c r="D67" s="7">
        <v>0.12</v>
      </c>
      <c r="E67" s="7">
        <v>12</v>
      </c>
      <c r="F67" s="7">
        <v>85.4</v>
      </c>
      <c r="G67" s="7">
        <v>1025</v>
      </c>
      <c r="H67" s="7">
        <v>419</v>
      </c>
      <c r="I67" s="7">
        <v>93</v>
      </c>
      <c r="J67" s="8">
        <f t="shared" ref="J67:J93" si="1">I67/G67</f>
        <v>9.0731707317073168E-2</v>
      </c>
      <c r="K67" s="7"/>
      <c r="L67" s="7">
        <v>513</v>
      </c>
      <c r="M67" s="7"/>
      <c r="N67" s="7"/>
      <c r="O67" s="7">
        <v>336</v>
      </c>
      <c r="P67" s="7">
        <v>336</v>
      </c>
      <c r="Q67" s="7">
        <v>306</v>
      </c>
      <c r="R67" s="7">
        <v>24</v>
      </c>
      <c r="S67" s="7">
        <v>6</v>
      </c>
      <c r="T67" s="7"/>
      <c r="U67" s="7"/>
      <c r="V67" s="4"/>
    </row>
    <row r="68" spans="1:22" x14ac:dyDescent="0.2">
      <c r="A68" s="5">
        <v>3518404</v>
      </c>
      <c r="B68" s="1" t="s">
        <v>86</v>
      </c>
      <c r="C68" s="5">
        <v>1</v>
      </c>
      <c r="D68" s="5">
        <v>0.22900000000000001</v>
      </c>
      <c r="E68" s="5">
        <v>22.9</v>
      </c>
      <c r="F68" s="5">
        <v>44.1</v>
      </c>
      <c r="G68" s="5">
        <v>1011</v>
      </c>
      <c r="H68" s="5">
        <v>452</v>
      </c>
      <c r="I68" s="5">
        <v>89</v>
      </c>
      <c r="J68" s="6">
        <f t="shared" si="1"/>
        <v>8.803165182987141E-2</v>
      </c>
      <c r="K68" s="5"/>
      <c r="L68" s="5">
        <v>470</v>
      </c>
      <c r="M68" s="5"/>
      <c r="N68" s="5"/>
      <c r="O68" s="5">
        <v>360</v>
      </c>
      <c r="P68" s="5">
        <v>360</v>
      </c>
      <c r="Q68" s="5">
        <v>246</v>
      </c>
      <c r="R68" s="5">
        <v>48</v>
      </c>
      <c r="S68" s="5">
        <v>3</v>
      </c>
      <c r="T68" s="5">
        <v>63</v>
      </c>
      <c r="U68" s="5"/>
      <c r="V68" s="4"/>
    </row>
    <row r="69" spans="1:22" x14ac:dyDescent="0.2">
      <c r="A69" s="7">
        <v>3546405</v>
      </c>
      <c r="B69" s="2" t="s">
        <v>87</v>
      </c>
      <c r="C69" s="7">
        <v>1</v>
      </c>
      <c r="D69" s="7">
        <v>0.18099999999999999</v>
      </c>
      <c r="E69" s="7">
        <v>18.100000000000001</v>
      </c>
      <c r="F69" s="7">
        <v>55</v>
      </c>
      <c r="G69" s="7">
        <v>995</v>
      </c>
      <c r="H69" s="7">
        <v>415</v>
      </c>
      <c r="I69" s="7">
        <v>144</v>
      </c>
      <c r="J69" s="8">
        <f t="shared" si="1"/>
        <v>0.14472361809045226</v>
      </c>
      <c r="K69" s="7"/>
      <c r="L69" s="7">
        <v>435</v>
      </c>
      <c r="M69" s="7">
        <v>1</v>
      </c>
      <c r="N69" s="7"/>
      <c r="O69" s="7">
        <v>323</v>
      </c>
      <c r="P69" s="7">
        <v>323</v>
      </c>
      <c r="Q69" s="7">
        <v>293</v>
      </c>
      <c r="R69" s="7">
        <v>25</v>
      </c>
      <c r="S69" s="7">
        <v>5</v>
      </c>
      <c r="T69" s="7"/>
      <c r="U69" s="7"/>
      <c r="V69" s="4"/>
    </row>
    <row r="70" spans="1:22" x14ac:dyDescent="0.2">
      <c r="A70" s="5">
        <v>3508405</v>
      </c>
      <c r="B70" s="1" t="s">
        <v>88</v>
      </c>
      <c r="C70" s="5">
        <v>4</v>
      </c>
      <c r="D70" s="5">
        <v>0.113</v>
      </c>
      <c r="E70" s="5">
        <v>11.3</v>
      </c>
      <c r="F70" s="5">
        <v>84.1</v>
      </c>
      <c r="G70" s="5">
        <v>950</v>
      </c>
      <c r="H70" s="5">
        <v>391</v>
      </c>
      <c r="I70" s="5">
        <v>61</v>
      </c>
      <c r="J70" s="6">
        <f t="shared" si="1"/>
        <v>6.4210526315789468E-2</v>
      </c>
      <c r="K70" s="5"/>
      <c r="L70" s="5">
        <v>498</v>
      </c>
      <c r="M70" s="5"/>
      <c r="N70" s="5"/>
      <c r="O70" s="5">
        <v>329</v>
      </c>
      <c r="P70" s="5">
        <v>329</v>
      </c>
      <c r="Q70" s="5">
        <v>296</v>
      </c>
      <c r="R70" s="5">
        <v>25</v>
      </c>
      <c r="S70" s="5">
        <v>8</v>
      </c>
      <c r="T70" s="5"/>
      <c r="U70" s="5"/>
      <c r="V70" s="4"/>
    </row>
    <row r="71" spans="1:22" x14ac:dyDescent="0.2">
      <c r="A71" s="7">
        <v>3515103</v>
      </c>
      <c r="B71" s="2" t="s">
        <v>89</v>
      </c>
      <c r="C71" s="7">
        <v>4</v>
      </c>
      <c r="D71" s="7">
        <v>8.1000000000000003E-2</v>
      </c>
      <c r="E71" s="7">
        <v>8.1</v>
      </c>
      <c r="F71" s="7">
        <v>111.4</v>
      </c>
      <c r="G71" s="7">
        <v>902</v>
      </c>
      <c r="H71" s="7">
        <v>281</v>
      </c>
      <c r="I71" s="7">
        <v>76</v>
      </c>
      <c r="J71" s="8">
        <f t="shared" si="1"/>
        <v>8.4257206208425722E-2</v>
      </c>
      <c r="K71" s="7">
        <v>4</v>
      </c>
      <c r="L71" s="7">
        <v>540</v>
      </c>
      <c r="M71" s="7">
        <v>1</v>
      </c>
      <c r="N71" s="7"/>
      <c r="O71" s="7">
        <v>343</v>
      </c>
      <c r="P71" s="7">
        <v>343</v>
      </c>
      <c r="Q71" s="7">
        <v>289</v>
      </c>
      <c r="R71" s="7">
        <v>42</v>
      </c>
      <c r="S71" s="7">
        <v>12</v>
      </c>
      <c r="T71" s="7"/>
      <c r="U71" s="7"/>
      <c r="V71" s="4"/>
    </row>
    <row r="72" spans="1:22" x14ac:dyDescent="0.2">
      <c r="A72" s="5">
        <v>3504909</v>
      </c>
      <c r="B72" s="1" t="s">
        <v>90</v>
      </c>
      <c r="C72" s="5">
        <v>2</v>
      </c>
      <c r="D72" s="5">
        <v>0.14199999999999999</v>
      </c>
      <c r="E72" s="5">
        <v>14.2</v>
      </c>
      <c r="F72" s="5">
        <v>59.9</v>
      </c>
      <c r="G72" s="5">
        <v>850</v>
      </c>
      <c r="H72" s="5">
        <v>320</v>
      </c>
      <c r="I72" s="5">
        <v>124</v>
      </c>
      <c r="J72" s="6">
        <f t="shared" si="1"/>
        <v>0.14588235294117646</v>
      </c>
      <c r="K72" s="5">
        <v>1</v>
      </c>
      <c r="L72" s="5">
        <v>405</v>
      </c>
      <c r="M72" s="5"/>
      <c r="N72" s="5"/>
      <c r="O72" s="5">
        <v>393</v>
      </c>
      <c r="P72" s="5">
        <v>393</v>
      </c>
      <c r="Q72" s="5">
        <v>307</v>
      </c>
      <c r="R72" s="5">
        <v>66</v>
      </c>
      <c r="S72" s="5">
        <v>20</v>
      </c>
      <c r="T72" s="5"/>
      <c r="U72" s="5"/>
      <c r="V72" s="4"/>
    </row>
    <row r="73" spans="1:22" x14ac:dyDescent="0.2">
      <c r="A73" s="7">
        <v>3548906</v>
      </c>
      <c r="B73" s="2" t="s">
        <v>91</v>
      </c>
      <c r="C73" s="7">
        <v>5</v>
      </c>
      <c r="D73" s="7">
        <v>0.17</v>
      </c>
      <c r="E73" s="7">
        <v>17</v>
      </c>
      <c r="F73" s="7">
        <v>46.9</v>
      </c>
      <c r="G73" s="7">
        <v>798</v>
      </c>
      <c r="H73" s="7">
        <v>230</v>
      </c>
      <c r="I73" s="7">
        <v>94</v>
      </c>
      <c r="J73" s="8">
        <f t="shared" si="1"/>
        <v>0.11779448621553884</v>
      </c>
      <c r="K73" s="7">
        <v>1</v>
      </c>
      <c r="L73" s="7">
        <v>472</v>
      </c>
      <c r="M73" s="7">
        <v>1</v>
      </c>
      <c r="N73" s="7"/>
      <c r="O73" s="7">
        <v>281</v>
      </c>
      <c r="P73" s="7">
        <v>281</v>
      </c>
      <c r="Q73" s="7">
        <v>147</v>
      </c>
      <c r="R73" s="7">
        <v>8</v>
      </c>
      <c r="S73" s="7">
        <v>14</v>
      </c>
      <c r="T73" s="7">
        <v>112</v>
      </c>
      <c r="U73" s="7"/>
      <c r="V73" s="4"/>
    </row>
    <row r="74" spans="1:22" x14ac:dyDescent="0.2">
      <c r="A74" s="5">
        <v>3510401</v>
      </c>
      <c r="B74" s="1" t="s">
        <v>92</v>
      </c>
      <c r="C74" s="5">
        <v>3</v>
      </c>
      <c r="D74" s="5">
        <v>0.186</v>
      </c>
      <c r="E74" s="5">
        <v>18.600000000000001</v>
      </c>
      <c r="F74" s="5">
        <v>40.700000000000003</v>
      </c>
      <c r="G74" s="5">
        <v>757</v>
      </c>
      <c r="H74" s="5">
        <v>257</v>
      </c>
      <c r="I74" s="5">
        <v>91</v>
      </c>
      <c r="J74" s="6">
        <f t="shared" si="1"/>
        <v>0.1202113606340819</v>
      </c>
      <c r="K74" s="5"/>
      <c r="L74" s="5">
        <v>408</v>
      </c>
      <c r="M74" s="5">
        <v>1</v>
      </c>
      <c r="N74" s="5"/>
      <c r="O74" s="5">
        <v>303</v>
      </c>
      <c r="P74" s="5">
        <v>303</v>
      </c>
      <c r="Q74" s="5">
        <v>246</v>
      </c>
      <c r="R74" s="5">
        <v>38</v>
      </c>
      <c r="S74" s="5">
        <v>18</v>
      </c>
      <c r="T74" s="5">
        <v>1</v>
      </c>
      <c r="U74" s="5"/>
      <c r="V74" s="4"/>
    </row>
    <row r="75" spans="1:22" x14ac:dyDescent="0.2">
      <c r="A75" s="7">
        <v>3523602</v>
      </c>
      <c r="B75" s="2" t="s">
        <v>93</v>
      </c>
      <c r="C75" s="7">
        <v>2</v>
      </c>
      <c r="D75" s="7">
        <v>0.20300000000000001</v>
      </c>
      <c r="E75" s="7">
        <v>20.3</v>
      </c>
      <c r="F75" s="7">
        <v>37.299999999999997</v>
      </c>
      <c r="G75" s="7">
        <v>757</v>
      </c>
      <c r="H75" s="7">
        <v>321</v>
      </c>
      <c r="I75" s="7">
        <v>71</v>
      </c>
      <c r="J75" s="8">
        <f t="shared" si="1"/>
        <v>9.3791281373844126E-2</v>
      </c>
      <c r="K75" s="7"/>
      <c r="L75" s="7">
        <v>365</v>
      </c>
      <c r="M75" s="7"/>
      <c r="N75" s="7"/>
      <c r="O75" s="7">
        <v>314</v>
      </c>
      <c r="P75" s="7">
        <v>314</v>
      </c>
      <c r="Q75" s="7">
        <v>265</v>
      </c>
      <c r="R75" s="7">
        <v>35</v>
      </c>
      <c r="S75" s="7">
        <v>14</v>
      </c>
      <c r="T75" s="7"/>
      <c r="U75" s="7"/>
      <c r="V75" s="4"/>
    </row>
    <row r="76" spans="1:22" x14ac:dyDescent="0.2">
      <c r="A76" s="5">
        <v>3507506</v>
      </c>
      <c r="B76" s="1" t="s">
        <v>94</v>
      </c>
      <c r="C76" s="5">
        <v>2</v>
      </c>
      <c r="D76" s="5">
        <v>0.11600000000000001</v>
      </c>
      <c r="E76" s="5">
        <v>11.6</v>
      </c>
      <c r="F76" s="5">
        <v>51.9</v>
      </c>
      <c r="G76" s="5">
        <v>602</v>
      </c>
      <c r="H76" s="5">
        <v>235</v>
      </c>
      <c r="I76" s="5">
        <v>52</v>
      </c>
      <c r="J76" s="6">
        <f t="shared" si="1"/>
        <v>8.6378737541528236E-2</v>
      </c>
      <c r="K76" s="5">
        <v>2</v>
      </c>
      <c r="L76" s="5">
        <v>313</v>
      </c>
      <c r="M76" s="5"/>
      <c r="N76" s="5"/>
      <c r="O76" s="5">
        <v>258</v>
      </c>
      <c r="P76" s="5">
        <v>258</v>
      </c>
      <c r="Q76" s="5">
        <v>203</v>
      </c>
      <c r="R76" s="5">
        <v>50</v>
      </c>
      <c r="S76" s="5">
        <v>5</v>
      </c>
      <c r="T76" s="5"/>
      <c r="U76" s="5"/>
      <c r="V76" s="4"/>
    </row>
    <row r="77" spans="1:22" x14ac:dyDescent="0.2">
      <c r="A77" s="7">
        <v>3528403</v>
      </c>
      <c r="B77" s="2" t="s">
        <v>95</v>
      </c>
      <c r="C77" s="7">
        <v>2</v>
      </c>
      <c r="D77" s="7">
        <v>0.27600000000000002</v>
      </c>
      <c r="E77" s="7">
        <v>27.6</v>
      </c>
      <c r="F77" s="7">
        <v>20.7</v>
      </c>
      <c r="G77" s="7">
        <v>572</v>
      </c>
      <c r="H77" s="7">
        <v>156</v>
      </c>
      <c r="I77" s="7">
        <v>60</v>
      </c>
      <c r="J77" s="8">
        <f t="shared" si="1"/>
        <v>0.1048951048951049</v>
      </c>
      <c r="K77" s="7">
        <v>3</v>
      </c>
      <c r="L77" s="7">
        <v>352</v>
      </c>
      <c r="M77" s="7">
        <v>1</v>
      </c>
      <c r="N77" s="7"/>
      <c r="O77" s="7">
        <v>210</v>
      </c>
      <c r="P77" s="7">
        <v>210</v>
      </c>
      <c r="Q77" s="7">
        <v>179</v>
      </c>
      <c r="R77" s="7">
        <v>28</v>
      </c>
      <c r="S77" s="7">
        <v>3</v>
      </c>
      <c r="T77" s="7"/>
      <c r="U77" s="7"/>
      <c r="V77" s="4"/>
    </row>
    <row r="78" spans="1:22" x14ac:dyDescent="0.2">
      <c r="A78" s="5">
        <v>3522109</v>
      </c>
      <c r="B78" s="1" t="s">
        <v>96</v>
      </c>
      <c r="C78" s="5">
        <v>3</v>
      </c>
      <c r="D78" s="5">
        <v>0.127</v>
      </c>
      <c r="E78" s="5">
        <v>12.7</v>
      </c>
      <c r="F78" s="5">
        <v>43.6</v>
      </c>
      <c r="G78" s="5">
        <v>554</v>
      </c>
      <c r="H78" s="5">
        <v>214</v>
      </c>
      <c r="I78" s="5">
        <v>49</v>
      </c>
      <c r="J78" s="6">
        <f t="shared" si="1"/>
        <v>8.8447653429602882E-2</v>
      </c>
      <c r="K78" s="5"/>
      <c r="L78" s="5">
        <v>290</v>
      </c>
      <c r="M78" s="5">
        <v>1</v>
      </c>
      <c r="N78" s="5"/>
      <c r="O78" s="5">
        <v>279</v>
      </c>
      <c r="P78" s="5">
        <v>279</v>
      </c>
      <c r="Q78" s="5">
        <v>192</v>
      </c>
      <c r="R78" s="5">
        <v>24</v>
      </c>
      <c r="S78" s="5">
        <v>63</v>
      </c>
      <c r="T78" s="5"/>
      <c r="U78" s="5"/>
      <c r="V78" s="4"/>
    </row>
    <row r="79" spans="1:22" x14ac:dyDescent="0.2">
      <c r="A79" s="7">
        <v>3543907</v>
      </c>
      <c r="B79" s="2" t="s">
        <v>97</v>
      </c>
      <c r="C79" s="7">
        <v>3</v>
      </c>
      <c r="D79" s="7">
        <v>0.21099999999999999</v>
      </c>
      <c r="E79" s="7">
        <v>21.1</v>
      </c>
      <c r="F79" s="7">
        <v>25.9</v>
      </c>
      <c r="G79" s="7">
        <v>546</v>
      </c>
      <c r="H79" s="7">
        <v>174</v>
      </c>
      <c r="I79" s="7">
        <v>76</v>
      </c>
      <c r="J79" s="8">
        <f t="shared" si="1"/>
        <v>0.1391941391941392</v>
      </c>
      <c r="K79" s="7"/>
      <c r="L79" s="7">
        <v>296</v>
      </c>
      <c r="M79" s="7"/>
      <c r="N79" s="7"/>
      <c r="O79" s="7">
        <v>206</v>
      </c>
      <c r="P79" s="7">
        <v>206</v>
      </c>
      <c r="Q79" s="7">
        <v>171</v>
      </c>
      <c r="R79" s="7">
        <v>17</v>
      </c>
      <c r="S79" s="7">
        <v>4</v>
      </c>
      <c r="T79" s="7">
        <v>14</v>
      </c>
      <c r="U79" s="7"/>
      <c r="V79" s="4"/>
    </row>
    <row r="80" spans="1:22" x14ac:dyDescent="0.2">
      <c r="A80" s="5">
        <v>3501608</v>
      </c>
      <c r="B80" s="1" t="s">
        <v>98</v>
      </c>
      <c r="C80" s="5">
        <v>1</v>
      </c>
      <c r="D80" s="5">
        <v>7.4999999999999997E-2</v>
      </c>
      <c r="E80" s="5">
        <v>7.5</v>
      </c>
      <c r="F80" s="5">
        <v>64.099999999999994</v>
      </c>
      <c r="G80" s="5">
        <v>481</v>
      </c>
      <c r="H80" s="5">
        <v>145</v>
      </c>
      <c r="I80" s="5">
        <v>60</v>
      </c>
      <c r="J80" s="6">
        <f t="shared" si="1"/>
        <v>0.12474012474012475</v>
      </c>
      <c r="K80" s="5"/>
      <c r="L80" s="5">
        <v>276</v>
      </c>
      <c r="M80" s="5"/>
      <c r="N80" s="5"/>
      <c r="O80" s="5">
        <v>174</v>
      </c>
      <c r="P80" s="5">
        <v>174</v>
      </c>
      <c r="Q80" s="5">
        <v>163</v>
      </c>
      <c r="R80" s="5">
        <v>11</v>
      </c>
      <c r="S80" s="5"/>
      <c r="T80" s="5"/>
      <c r="U80" s="5"/>
      <c r="V80" s="4"/>
    </row>
    <row r="81" spans="1:22" x14ac:dyDescent="0.2">
      <c r="A81" s="7">
        <v>3512407</v>
      </c>
      <c r="B81" s="2" t="s">
        <v>99</v>
      </c>
      <c r="C81" s="7">
        <v>2</v>
      </c>
      <c r="D81" s="7">
        <v>4.8000000000000001E-2</v>
      </c>
      <c r="E81" s="7">
        <v>4.8</v>
      </c>
      <c r="F81" s="7">
        <v>74.8</v>
      </c>
      <c r="G81" s="7">
        <v>359</v>
      </c>
      <c r="H81" s="7">
        <v>121</v>
      </c>
      <c r="I81" s="7">
        <v>80</v>
      </c>
      <c r="J81" s="8">
        <f t="shared" si="1"/>
        <v>0.22284122562674094</v>
      </c>
      <c r="K81" s="7"/>
      <c r="L81" s="7">
        <v>158</v>
      </c>
      <c r="M81" s="7"/>
      <c r="N81" s="7"/>
      <c r="O81" s="7">
        <v>100</v>
      </c>
      <c r="P81" s="7">
        <v>100</v>
      </c>
      <c r="Q81" s="7">
        <v>100</v>
      </c>
      <c r="R81" s="7"/>
      <c r="S81" s="7"/>
      <c r="T81" s="7"/>
      <c r="U81" s="7"/>
      <c r="V81" s="4"/>
    </row>
    <row r="82" spans="1:22" x14ac:dyDescent="0.2">
      <c r="A82" s="5">
        <v>3501905</v>
      </c>
      <c r="B82" s="1" t="s">
        <v>100</v>
      </c>
      <c r="C82" s="5">
        <v>1</v>
      </c>
      <c r="D82" s="5">
        <v>0.191</v>
      </c>
      <c r="E82" s="5">
        <v>19.100000000000001</v>
      </c>
      <c r="F82" s="5">
        <v>18.8</v>
      </c>
      <c r="G82" s="5">
        <v>359</v>
      </c>
      <c r="H82" s="5">
        <v>130</v>
      </c>
      <c r="I82" s="5">
        <v>46</v>
      </c>
      <c r="J82" s="6">
        <f t="shared" si="1"/>
        <v>0.12813370473537605</v>
      </c>
      <c r="K82" s="5"/>
      <c r="L82" s="5">
        <v>183</v>
      </c>
      <c r="M82" s="5"/>
      <c r="N82" s="5"/>
      <c r="O82" s="5">
        <v>145</v>
      </c>
      <c r="P82" s="5">
        <v>144</v>
      </c>
      <c r="Q82" s="5">
        <v>110</v>
      </c>
      <c r="R82" s="5">
        <v>17</v>
      </c>
      <c r="S82" s="5">
        <v>17</v>
      </c>
      <c r="T82" s="5"/>
      <c r="U82" s="5">
        <v>1</v>
      </c>
      <c r="V82" s="4"/>
    </row>
    <row r="83" spans="1:22" x14ac:dyDescent="0.2">
      <c r="A83" s="7">
        <v>3508504</v>
      </c>
      <c r="B83" s="2" t="s">
        <v>101</v>
      </c>
      <c r="C83" s="7">
        <v>1</v>
      </c>
      <c r="D83" s="7">
        <v>2.7E-2</v>
      </c>
      <c r="E83" s="7">
        <v>2.7</v>
      </c>
      <c r="F83" s="7">
        <v>127</v>
      </c>
      <c r="G83" s="7">
        <v>343</v>
      </c>
      <c r="H83" s="7">
        <v>110</v>
      </c>
      <c r="I83" s="7">
        <v>24</v>
      </c>
      <c r="J83" s="8">
        <f t="shared" si="1"/>
        <v>6.9970845481049565E-2</v>
      </c>
      <c r="K83" s="7"/>
      <c r="L83" s="7">
        <v>209</v>
      </c>
      <c r="M83" s="7"/>
      <c r="N83" s="7"/>
      <c r="O83" s="7">
        <v>126</v>
      </c>
      <c r="P83" s="7">
        <v>126</v>
      </c>
      <c r="Q83" s="7">
        <v>104</v>
      </c>
      <c r="R83" s="7">
        <v>21</v>
      </c>
      <c r="S83" s="7">
        <v>1</v>
      </c>
      <c r="T83" s="7"/>
      <c r="U83" s="7"/>
      <c r="V83" s="4"/>
    </row>
    <row r="84" spans="1:22" x14ac:dyDescent="0.2">
      <c r="A84" s="5">
        <v>3545209</v>
      </c>
      <c r="B84" s="1" t="s">
        <v>102</v>
      </c>
      <c r="C84" s="5">
        <v>1</v>
      </c>
      <c r="D84" s="5">
        <v>1.2E-2</v>
      </c>
      <c r="E84" s="5">
        <v>1.2</v>
      </c>
      <c r="F84" s="5">
        <v>279.2</v>
      </c>
      <c r="G84" s="5">
        <v>335</v>
      </c>
      <c r="H84" s="5">
        <v>111</v>
      </c>
      <c r="I84" s="5">
        <v>53</v>
      </c>
      <c r="J84" s="6">
        <f t="shared" si="1"/>
        <v>0.15820895522388059</v>
      </c>
      <c r="K84" s="5"/>
      <c r="L84" s="5">
        <v>169</v>
      </c>
      <c r="M84" s="5">
        <v>2</v>
      </c>
      <c r="N84" s="5"/>
      <c r="O84" s="5">
        <v>131</v>
      </c>
      <c r="P84" s="5">
        <v>131</v>
      </c>
      <c r="Q84" s="5">
        <v>113</v>
      </c>
      <c r="R84" s="5">
        <v>17</v>
      </c>
      <c r="S84" s="5">
        <v>1</v>
      </c>
      <c r="T84" s="5"/>
      <c r="U84" s="5"/>
      <c r="V84" s="4"/>
    </row>
    <row r="85" spans="1:22" x14ac:dyDescent="0.2">
      <c r="A85" s="7">
        <v>3537602</v>
      </c>
      <c r="B85" s="2" t="s">
        <v>103</v>
      </c>
      <c r="C85" s="7">
        <v>1</v>
      </c>
      <c r="D85" s="7">
        <v>3.2000000000000001E-2</v>
      </c>
      <c r="E85" s="7">
        <v>3.2</v>
      </c>
      <c r="F85" s="7">
        <v>86.6</v>
      </c>
      <c r="G85" s="7">
        <v>277</v>
      </c>
      <c r="H85" s="7">
        <v>86</v>
      </c>
      <c r="I85" s="7">
        <v>30</v>
      </c>
      <c r="J85" s="8">
        <f t="shared" si="1"/>
        <v>0.10830324909747292</v>
      </c>
      <c r="K85" s="7"/>
      <c r="L85" s="7">
        <v>161</v>
      </c>
      <c r="M85" s="7"/>
      <c r="N85" s="7"/>
      <c r="O85" s="7">
        <v>98</v>
      </c>
      <c r="P85" s="7">
        <v>98</v>
      </c>
      <c r="Q85" s="7">
        <v>87</v>
      </c>
      <c r="R85" s="7">
        <v>9</v>
      </c>
      <c r="S85" s="7">
        <v>2</v>
      </c>
      <c r="T85" s="7"/>
      <c r="U85" s="7"/>
      <c r="V85" s="4"/>
    </row>
    <row r="86" spans="1:22" x14ac:dyDescent="0.2">
      <c r="A86" s="5">
        <v>3519501</v>
      </c>
      <c r="B86" s="1" t="s">
        <v>104</v>
      </c>
      <c r="C86" s="5">
        <v>1</v>
      </c>
      <c r="D86" s="5">
        <v>2.7E-2</v>
      </c>
      <c r="E86" s="5">
        <v>2.7</v>
      </c>
      <c r="F86" s="5">
        <v>99.3</v>
      </c>
      <c r="G86" s="5">
        <v>268</v>
      </c>
      <c r="H86" s="5">
        <v>114</v>
      </c>
      <c r="I86" s="5">
        <v>31</v>
      </c>
      <c r="J86" s="6">
        <f t="shared" si="1"/>
        <v>0.11567164179104478</v>
      </c>
      <c r="K86" s="5"/>
      <c r="L86" s="5">
        <v>123</v>
      </c>
      <c r="M86" s="5"/>
      <c r="N86" s="5"/>
      <c r="O86" s="5">
        <v>107</v>
      </c>
      <c r="P86" s="5">
        <v>107</v>
      </c>
      <c r="Q86" s="5">
        <v>87</v>
      </c>
      <c r="R86" s="5">
        <v>18</v>
      </c>
      <c r="S86" s="5">
        <v>2</v>
      </c>
      <c r="T86" s="5"/>
      <c r="U86" s="5"/>
      <c r="V86" s="4"/>
    </row>
    <row r="87" spans="1:22" x14ac:dyDescent="0.2">
      <c r="A87" s="7">
        <v>3527306</v>
      </c>
      <c r="B87" s="2" t="s">
        <v>105</v>
      </c>
      <c r="C87" s="7">
        <v>1</v>
      </c>
      <c r="D87" s="7">
        <v>1.0999999999999999E-2</v>
      </c>
      <c r="E87" s="7">
        <v>1.1000000000000001</v>
      </c>
      <c r="F87" s="7">
        <v>223.6</v>
      </c>
      <c r="G87" s="7">
        <v>246</v>
      </c>
      <c r="H87" s="7">
        <v>94</v>
      </c>
      <c r="I87" s="7">
        <v>13</v>
      </c>
      <c r="J87" s="8">
        <f t="shared" si="1"/>
        <v>5.2845528455284556E-2</v>
      </c>
      <c r="K87" s="7"/>
      <c r="L87" s="7">
        <v>139</v>
      </c>
      <c r="M87" s="7"/>
      <c r="N87" s="7"/>
      <c r="O87" s="7">
        <v>79</v>
      </c>
      <c r="P87" s="7">
        <v>79</v>
      </c>
      <c r="Q87" s="7">
        <v>79</v>
      </c>
      <c r="R87" s="7"/>
      <c r="S87" s="7"/>
      <c r="T87" s="7"/>
      <c r="U87" s="7"/>
      <c r="V87" s="4"/>
    </row>
    <row r="88" spans="1:22" x14ac:dyDescent="0.2">
      <c r="A88" s="5">
        <v>3507605</v>
      </c>
      <c r="B88" s="1" t="s">
        <v>106</v>
      </c>
      <c r="C88" s="5">
        <v>1</v>
      </c>
      <c r="D88" s="5">
        <v>1.9E-2</v>
      </c>
      <c r="E88" s="5">
        <v>1.9</v>
      </c>
      <c r="F88" s="5">
        <v>117.4</v>
      </c>
      <c r="G88" s="5">
        <v>223</v>
      </c>
      <c r="H88" s="5">
        <v>95</v>
      </c>
      <c r="I88" s="5">
        <v>17</v>
      </c>
      <c r="J88" s="6">
        <f t="shared" si="1"/>
        <v>7.623318385650224E-2</v>
      </c>
      <c r="K88" s="5"/>
      <c r="L88" s="5">
        <v>111</v>
      </c>
      <c r="M88" s="5"/>
      <c r="N88" s="5"/>
      <c r="O88" s="5">
        <v>90</v>
      </c>
      <c r="P88" s="5">
        <v>90</v>
      </c>
      <c r="Q88" s="5">
        <v>83</v>
      </c>
      <c r="R88" s="5">
        <v>1</v>
      </c>
      <c r="S88" s="5">
        <v>2</v>
      </c>
      <c r="T88" s="5">
        <v>4</v>
      </c>
      <c r="U88" s="5"/>
      <c r="V88" s="4"/>
    </row>
    <row r="89" spans="1:22" x14ac:dyDescent="0.2">
      <c r="A89" s="7">
        <v>3504503</v>
      </c>
      <c r="B89" s="2" t="s">
        <v>107</v>
      </c>
      <c r="C89" s="7">
        <v>1</v>
      </c>
      <c r="D89" s="7">
        <v>5.5E-2</v>
      </c>
      <c r="E89" s="7">
        <v>5.5</v>
      </c>
      <c r="F89" s="7">
        <v>30.9</v>
      </c>
      <c r="G89" s="7">
        <v>170</v>
      </c>
      <c r="H89" s="7">
        <v>63</v>
      </c>
      <c r="I89" s="7">
        <v>12</v>
      </c>
      <c r="J89" s="8">
        <f t="shared" si="1"/>
        <v>7.0588235294117646E-2</v>
      </c>
      <c r="K89" s="7"/>
      <c r="L89" s="7">
        <v>95</v>
      </c>
      <c r="M89" s="7"/>
      <c r="N89" s="7"/>
      <c r="O89" s="7">
        <v>70</v>
      </c>
      <c r="P89" s="7">
        <v>70</v>
      </c>
      <c r="Q89" s="7">
        <v>24</v>
      </c>
      <c r="R89" s="7">
        <v>20</v>
      </c>
      <c r="S89" s="7">
        <v>1</v>
      </c>
      <c r="T89" s="7">
        <v>25</v>
      </c>
      <c r="U89" s="7"/>
      <c r="V89" s="4"/>
    </row>
    <row r="90" spans="1:22" x14ac:dyDescent="0.2">
      <c r="A90" s="5">
        <v>3536703</v>
      </c>
      <c r="B90" s="1" t="s">
        <v>108</v>
      </c>
      <c r="C90" s="5">
        <v>1</v>
      </c>
      <c r="D90" s="5">
        <v>0.39600000000000002</v>
      </c>
      <c r="E90" s="5">
        <v>39.6</v>
      </c>
      <c r="F90" s="5">
        <v>4</v>
      </c>
      <c r="G90" s="5">
        <v>158</v>
      </c>
      <c r="H90" s="5">
        <v>76</v>
      </c>
      <c r="I90" s="5">
        <v>13</v>
      </c>
      <c r="J90" s="6">
        <f t="shared" si="1"/>
        <v>8.2278481012658222E-2</v>
      </c>
      <c r="K90" s="5">
        <v>1</v>
      </c>
      <c r="L90" s="5">
        <v>68</v>
      </c>
      <c r="M90" s="5"/>
      <c r="N90" s="5"/>
      <c r="O90" s="5">
        <v>101</v>
      </c>
      <c r="P90" s="5">
        <v>101</v>
      </c>
      <c r="Q90" s="5">
        <v>58</v>
      </c>
      <c r="R90" s="5">
        <v>10</v>
      </c>
      <c r="S90" s="5">
        <v>29</v>
      </c>
      <c r="T90" s="5">
        <v>4</v>
      </c>
      <c r="U90" s="5"/>
      <c r="V90" s="4"/>
    </row>
    <row r="91" spans="1:22" x14ac:dyDescent="0.2">
      <c r="A91" s="7">
        <v>3552700</v>
      </c>
      <c r="B91" s="2" t="s">
        <v>109</v>
      </c>
      <c r="C91" s="7">
        <v>1</v>
      </c>
      <c r="D91" s="7">
        <v>1.4E-2</v>
      </c>
      <c r="E91" s="7">
        <v>1.4</v>
      </c>
      <c r="F91" s="7">
        <v>110</v>
      </c>
      <c r="G91" s="7">
        <v>154</v>
      </c>
      <c r="H91" s="7">
        <v>39</v>
      </c>
      <c r="I91" s="7">
        <v>12</v>
      </c>
      <c r="J91" s="8">
        <f t="shared" si="1"/>
        <v>7.792207792207792E-2</v>
      </c>
      <c r="K91" s="7"/>
      <c r="L91" s="7">
        <v>103</v>
      </c>
      <c r="M91" s="7"/>
      <c r="N91" s="7"/>
      <c r="O91" s="7">
        <v>63</v>
      </c>
      <c r="P91" s="7">
        <v>63</v>
      </c>
      <c r="Q91" s="7">
        <v>55</v>
      </c>
      <c r="R91" s="7">
        <v>8</v>
      </c>
      <c r="S91" s="7"/>
      <c r="T91" s="7"/>
      <c r="U91" s="7"/>
      <c r="V91" s="4"/>
    </row>
    <row r="92" spans="1:22" x14ac:dyDescent="0.2">
      <c r="A92" s="5">
        <v>3538006</v>
      </c>
      <c r="B92" s="1" t="s">
        <v>110</v>
      </c>
      <c r="C92" s="5">
        <v>1</v>
      </c>
      <c r="D92" s="5">
        <v>2.5000000000000001E-2</v>
      </c>
      <c r="E92" s="5">
        <v>2.5</v>
      </c>
      <c r="F92" s="5">
        <v>59.2</v>
      </c>
      <c r="G92" s="5">
        <v>148</v>
      </c>
      <c r="H92" s="5">
        <v>56</v>
      </c>
      <c r="I92" s="5">
        <v>29</v>
      </c>
      <c r="J92" s="6">
        <f t="shared" si="1"/>
        <v>0.19594594594594594</v>
      </c>
      <c r="K92" s="5"/>
      <c r="L92" s="5">
        <v>63</v>
      </c>
      <c r="M92" s="5"/>
      <c r="N92" s="5"/>
      <c r="O92" s="5">
        <v>60</v>
      </c>
      <c r="P92" s="5">
        <v>60</v>
      </c>
      <c r="Q92" s="5">
        <v>48</v>
      </c>
      <c r="R92" s="5">
        <v>10</v>
      </c>
      <c r="S92" s="5">
        <v>2</v>
      </c>
      <c r="T92" s="5"/>
      <c r="U92" s="5"/>
      <c r="V92" s="4"/>
    </row>
    <row r="93" spans="1:22" x14ac:dyDescent="0.2">
      <c r="A93" s="7">
        <v>3541307</v>
      </c>
      <c r="B93" s="2" t="s">
        <v>111</v>
      </c>
      <c r="C93" s="7">
        <v>1</v>
      </c>
      <c r="D93" s="7">
        <v>7.0999999999999994E-2</v>
      </c>
      <c r="E93" s="7">
        <v>7.1</v>
      </c>
      <c r="F93" s="7">
        <v>13.5</v>
      </c>
      <c r="G93" s="7">
        <v>96</v>
      </c>
      <c r="H93" s="7">
        <v>30</v>
      </c>
      <c r="I93" s="7">
        <v>5</v>
      </c>
      <c r="J93" s="8">
        <f t="shared" si="1"/>
        <v>5.2083333333333336E-2</v>
      </c>
      <c r="K93" s="7"/>
      <c r="L93" s="7">
        <v>61</v>
      </c>
      <c r="M93" s="7"/>
      <c r="N93" s="7"/>
      <c r="O93" s="7">
        <v>46</v>
      </c>
      <c r="P93" s="7">
        <v>45</v>
      </c>
      <c r="Q93" s="7">
        <v>33</v>
      </c>
      <c r="R93" s="7">
        <v>8</v>
      </c>
      <c r="S93" s="7">
        <v>3</v>
      </c>
      <c r="T93" s="7">
        <v>1</v>
      </c>
      <c r="U93" s="7">
        <v>1</v>
      </c>
      <c r="V93" s="4"/>
    </row>
    <row r="94" spans="1:22" x14ac:dyDescent="0.2">
      <c r="A94" s="4"/>
      <c r="C94" s="4"/>
      <c r="D94" s="4"/>
      <c r="E94" s="4"/>
      <c r="F94" s="4"/>
      <c r="G94" s="4"/>
      <c r="H94" s="4"/>
      <c r="I94" s="4"/>
      <c r="J94" s="9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Legenda</vt:lpstr>
      <vt:lpstr>Matriz(Antiga)</vt:lpstr>
      <vt:lpstr>Pergunta-1</vt:lpstr>
      <vt:lpstr>Pergunta-2</vt:lpstr>
      <vt:lpstr>Pergunta-3</vt:lpstr>
      <vt:lpstr>Pergunta-4</vt:lpstr>
      <vt:lpstr>Pergunta-5</vt:lpstr>
      <vt:lpstr>Dashboard</vt:lpstr>
      <vt:lpstr>TabelaDinâmica</vt:lpstr>
      <vt:lpstr>Matriz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2026-09-05T12:01:03Z</dcterms:created>
  <dcterms:modified xsi:type="dcterms:W3CDTF">2026-09-09T22:23:48Z</dcterms:modified>
</cp:coreProperties>
</file>